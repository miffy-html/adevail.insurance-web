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rafe\Downloads\"/>
    </mc:Choice>
  </mc:AlternateContent>
  <xr:revisionPtr revIDLastSave="0" documentId="13_ncr:1_{7FA304C6-5516-42F7-AD52-0C5ACBC3C14A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Male" sheetId="4" r:id="rId1"/>
    <sheet name="Female" sheetId="5" r:id="rId2"/>
    <sheet name="Formula Check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3" i="5" l="1"/>
  <c r="C113" i="5"/>
  <c r="E113" i="5" s="1"/>
  <c r="D112" i="5"/>
  <c r="C112" i="5"/>
  <c r="E112" i="5" s="1"/>
  <c r="D111" i="5"/>
  <c r="C111" i="5"/>
  <c r="E111" i="5" s="1"/>
  <c r="D110" i="5"/>
  <c r="C110" i="5"/>
  <c r="E110" i="5" s="1"/>
  <c r="D109" i="5"/>
  <c r="C109" i="5"/>
  <c r="E109" i="5" s="1"/>
  <c r="D108" i="5"/>
  <c r="C108" i="5"/>
  <c r="E108" i="5" s="1"/>
  <c r="D107" i="5"/>
  <c r="C107" i="5"/>
  <c r="E107" i="5" s="1"/>
  <c r="D106" i="5"/>
  <c r="C106" i="5"/>
  <c r="E106" i="5" s="1"/>
  <c r="D105" i="5"/>
  <c r="C105" i="5"/>
  <c r="E105" i="5" s="1"/>
  <c r="D104" i="5"/>
  <c r="C104" i="5"/>
  <c r="E104" i="5" s="1"/>
  <c r="D103" i="5"/>
  <c r="C103" i="5"/>
  <c r="E103" i="5" s="1"/>
  <c r="D102" i="5"/>
  <c r="C102" i="5"/>
  <c r="E102" i="5" s="1"/>
  <c r="D101" i="5"/>
  <c r="C101" i="5"/>
  <c r="E101" i="5" s="1"/>
  <c r="D100" i="5"/>
  <c r="C100" i="5"/>
  <c r="E100" i="5" s="1"/>
  <c r="D99" i="5"/>
  <c r="C99" i="5"/>
  <c r="E99" i="5" s="1"/>
  <c r="D98" i="5"/>
  <c r="C98" i="5"/>
  <c r="E98" i="5" s="1"/>
  <c r="D97" i="5"/>
  <c r="C97" i="5"/>
  <c r="E97" i="5" s="1"/>
  <c r="D96" i="5"/>
  <c r="C96" i="5"/>
  <c r="E96" i="5" s="1"/>
  <c r="D95" i="5"/>
  <c r="C95" i="5"/>
  <c r="E95" i="5" s="1"/>
  <c r="D94" i="5"/>
  <c r="C94" i="5"/>
  <c r="E94" i="5" s="1"/>
  <c r="D93" i="5"/>
  <c r="C93" i="5"/>
  <c r="E93" i="5" s="1"/>
  <c r="D92" i="5"/>
  <c r="C92" i="5"/>
  <c r="E92" i="5" s="1"/>
  <c r="D91" i="5"/>
  <c r="C91" i="5"/>
  <c r="E91" i="5" s="1"/>
  <c r="D90" i="5"/>
  <c r="C90" i="5"/>
  <c r="E90" i="5" s="1"/>
  <c r="D89" i="5"/>
  <c r="C89" i="5"/>
  <c r="E89" i="5" s="1"/>
  <c r="D88" i="5"/>
  <c r="C88" i="5"/>
  <c r="E88" i="5" s="1"/>
  <c r="D87" i="5"/>
  <c r="C87" i="5"/>
  <c r="E87" i="5" s="1"/>
  <c r="D86" i="5"/>
  <c r="C86" i="5"/>
  <c r="E86" i="5" s="1"/>
  <c r="D85" i="5"/>
  <c r="C85" i="5"/>
  <c r="E85" i="5" s="1"/>
  <c r="D84" i="5"/>
  <c r="C84" i="5"/>
  <c r="E84" i="5" s="1"/>
  <c r="D83" i="5"/>
  <c r="C83" i="5"/>
  <c r="E83" i="5" s="1"/>
  <c r="D82" i="5"/>
  <c r="C82" i="5"/>
  <c r="E82" i="5" s="1"/>
  <c r="D81" i="5"/>
  <c r="C81" i="5"/>
  <c r="E81" i="5" s="1"/>
  <c r="D80" i="5"/>
  <c r="C80" i="5"/>
  <c r="E80" i="5" s="1"/>
  <c r="D79" i="5"/>
  <c r="C79" i="5"/>
  <c r="E79" i="5" s="1"/>
  <c r="D78" i="5"/>
  <c r="C78" i="5"/>
  <c r="E78" i="5" s="1"/>
  <c r="D77" i="5"/>
  <c r="C77" i="5"/>
  <c r="E77" i="5" s="1"/>
  <c r="D76" i="5"/>
  <c r="C76" i="5"/>
  <c r="E76" i="5" s="1"/>
  <c r="D75" i="5"/>
  <c r="C75" i="5"/>
  <c r="E75" i="5" s="1"/>
  <c r="D74" i="5"/>
  <c r="C74" i="5"/>
  <c r="E74" i="5" s="1"/>
  <c r="D73" i="5"/>
  <c r="C73" i="5"/>
  <c r="E73" i="5" s="1"/>
  <c r="D72" i="5"/>
  <c r="C72" i="5"/>
  <c r="E72" i="5" s="1"/>
  <c r="D71" i="5"/>
  <c r="C71" i="5"/>
  <c r="E71" i="5" s="1"/>
  <c r="D70" i="5"/>
  <c r="C70" i="5"/>
  <c r="E70" i="5" s="1"/>
  <c r="D69" i="5"/>
  <c r="C69" i="5"/>
  <c r="E69" i="5" s="1"/>
  <c r="D68" i="5"/>
  <c r="C68" i="5"/>
  <c r="E68" i="5" s="1"/>
  <c r="D67" i="5"/>
  <c r="C67" i="5"/>
  <c r="E67" i="5" s="1"/>
  <c r="D66" i="5"/>
  <c r="C66" i="5"/>
  <c r="E66" i="5" s="1"/>
  <c r="D65" i="5"/>
  <c r="C65" i="5"/>
  <c r="E65" i="5" s="1"/>
  <c r="D64" i="5"/>
  <c r="C64" i="5"/>
  <c r="E64" i="5" s="1"/>
  <c r="D63" i="5"/>
  <c r="C63" i="5"/>
  <c r="E63" i="5" s="1"/>
  <c r="D62" i="5"/>
  <c r="C62" i="5"/>
  <c r="E62" i="5" s="1"/>
  <c r="D61" i="5"/>
  <c r="C61" i="5"/>
  <c r="E61" i="5" s="1"/>
  <c r="D60" i="5"/>
  <c r="C60" i="5"/>
  <c r="E60" i="5" s="1"/>
  <c r="D59" i="5"/>
  <c r="C59" i="5"/>
  <c r="E59" i="5" s="1"/>
  <c r="D58" i="5"/>
  <c r="C58" i="5"/>
  <c r="E58" i="5" s="1"/>
  <c r="D57" i="5"/>
  <c r="C57" i="5"/>
  <c r="E57" i="5" s="1"/>
  <c r="D56" i="5"/>
  <c r="C56" i="5"/>
  <c r="E56" i="5" s="1"/>
  <c r="D55" i="5"/>
  <c r="C55" i="5"/>
  <c r="E55" i="5" s="1"/>
  <c r="D54" i="5"/>
  <c r="C54" i="5"/>
  <c r="E54" i="5" s="1"/>
  <c r="D53" i="5"/>
  <c r="C53" i="5"/>
  <c r="E53" i="5" s="1"/>
  <c r="D52" i="5"/>
  <c r="C52" i="5"/>
  <c r="E52" i="5" s="1"/>
  <c r="D51" i="5"/>
  <c r="C51" i="5"/>
  <c r="E51" i="5" s="1"/>
  <c r="D50" i="5"/>
  <c r="C50" i="5"/>
  <c r="E50" i="5" s="1"/>
  <c r="D49" i="5"/>
  <c r="C49" i="5"/>
  <c r="E49" i="5" s="1"/>
  <c r="D48" i="5"/>
  <c r="C48" i="5"/>
  <c r="E48" i="5" s="1"/>
  <c r="D47" i="5"/>
  <c r="C47" i="5"/>
  <c r="E47" i="5" s="1"/>
  <c r="D46" i="5"/>
  <c r="C46" i="5"/>
  <c r="E46" i="5" s="1"/>
  <c r="D45" i="5"/>
  <c r="C45" i="5"/>
  <c r="E45" i="5" s="1"/>
  <c r="D44" i="5"/>
  <c r="C44" i="5"/>
  <c r="E44" i="5" s="1"/>
  <c r="D43" i="5"/>
  <c r="C43" i="5"/>
  <c r="E43" i="5" s="1"/>
  <c r="D42" i="5"/>
  <c r="C42" i="5"/>
  <c r="E42" i="5" s="1"/>
  <c r="D41" i="5"/>
  <c r="C41" i="5"/>
  <c r="E41" i="5" s="1"/>
  <c r="D40" i="5"/>
  <c r="C40" i="5"/>
  <c r="E40" i="5" s="1"/>
  <c r="D39" i="5"/>
  <c r="C39" i="5"/>
  <c r="E39" i="5" s="1"/>
  <c r="D38" i="5"/>
  <c r="C38" i="5"/>
  <c r="E38" i="5" s="1"/>
  <c r="D37" i="5"/>
  <c r="C37" i="5"/>
  <c r="E37" i="5" s="1"/>
  <c r="D36" i="5"/>
  <c r="C36" i="5"/>
  <c r="E36" i="5" s="1"/>
  <c r="D35" i="5"/>
  <c r="C35" i="5"/>
  <c r="E35" i="5" s="1"/>
  <c r="D34" i="5"/>
  <c r="C34" i="5"/>
  <c r="E34" i="5" s="1"/>
  <c r="D33" i="5"/>
  <c r="C33" i="5"/>
  <c r="E33" i="5" s="1"/>
  <c r="D32" i="5"/>
  <c r="C32" i="5"/>
  <c r="E32" i="5" s="1"/>
  <c r="D31" i="5"/>
  <c r="C31" i="5"/>
  <c r="E31" i="5" s="1"/>
  <c r="D30" i="5"/>
  <c r="C30" i="5"/>
  <c r="E30" i="5" s="1"/>
  <c r="D29" i="5"/>
  <c r="C29" i="5"/>
  <c r="E29" i="5" s="1"/>
  <c r="D28" i="5"/>
  <c r="C28" i="5"/>
  <c r="E28" i="5" s="1"/>
  <c r="D27" i="5"/>
  <c r="C27" i="5"/>
  <c r="E27" i="5" s="1"/>
  <c r="D26" i="5"/>
  <c r="C26" i="5"/>
  <c r="E26" i="5" s="1"/>
  <c r="D25" i="5"/>
  <c r="C25" i="5"/>
  <c r="E25" i="5" s="1"/>
  <c r="D24" i="5"/>
  <c r="C24" i="5"/>
  <c r="E24" i="5" s="1"/>
  <c r="D23" i="5"/>
  <c r="C23" i="5"/>
  <c r="E23" i="5" s="1"/>
  <c r="D22" i="5"/>
  <c r="C22" i="5"/>
  <c r="E22" i="5" s="1"/>
  <c r="D21" i="5"/>
  <c r="C21" i="5"/>
  <c r="E21" i="5" s="1"/>
  <c r="D20" i="5"/>
  <c r="C20" i="5"/>
  <c r="E20" i="5" s="1"/>
  <c r="D19" i="5"/>
  <c r="C19" i="5"/>
  <c r="E19" i="5" s="1"/>
  <c r="D18" i="5"/>
  <c r="C18" i="5"/>
  <c r="E18" i="5" s="1"/>
  <c r="D17" i="5"/>
  <c r="C17" i="5"/>
  <c r="E17" i="5" s="1"/>
  <c r="D16" i="5"/>
  <c r="C16" i="5"/>
  <c r="E16" i="5" s="1"/>
  <c r="D15" i="5"/>
  <c r="C15" i="5"/>
  <c r="E15" i="5" s="1"/>
  <c r="D14" i="5"/>
  <c r="C14" i="5"/>
  <c r="E14" i="5" s="1"/>
  <c r="D13" i="5"/>
  <c r="C13" i="5"/>
  <c r="E13" i="5" s="1"/>
  <c r="D12" i="5"/>
  <c r="C12" i="5"/>
  <c r="E12" i="5" s="1"/>
  <c r="D11" i="5"/>
  <c r="C11" i="5"/>
  <c r="E11" i="5" s="1"/>
  <c r="D10" i="5"/>
  <c r="C10" i="5"/>
  <c r="E10" i="5" s="1"/>
  <c r="D9" i="5"/>
  <c r="C9" i="5"/>
  <c r="E9" i="5" s="1"/>
  <c r="D8" i="5"/>
  <c r="C8" i="5"/>
  <c r="E8" i="5" s="1"/>
  <c r="D7" i="5"/>
  <c r="C7" i="5"/>
  <c r="E7" i="5" s="1"/>
  <c r="D6" i="5"/>
  <c r="C6" i="5"/>
  <c r="E6" i="5" s="1"/>
  <c r="D5" i="5"/>
  <c r="C5" i="5"/>
  <c r="E5" i="5" s="1"/>
  <c r="D4" i="5"/>
  <c r="C4" i="5"/>
  <c r="E4" i="5" s="1"/>
  <c r="D3" i="5"/>
  <c r="C3" i="5"/>
  <c r="E3" i="5" s="1"/>
  <c r="D2" i="5"/>
  <c r="C2" i="5"/>
  <c r="E2" i="5" s="1"/>
  <c r="C2" i="4"/>
  <c r="E2" i="4" s="1"/>
  <c r="D113" i="4"/>
  <c r="C113" i="4"/>
  <c r="E113" i="4" s="1"/>
  <c r="D112" i="4"/>
  <c r="C112" i="4"/>
  <c r="E112" i="4" s="1"/>
  <c r="D111" i="4"/>
  <c r="C111" i="4"/>
  <c r="E111" i="4" s="1"/>
  <c r="D110" i="4"/>
  <c r="C110" i="4"/>
  <c r="E110" i="4" s="1"/>
  <c r="D109" i="4"/>
  <c r="C109" i="4"/>
  <c r="E109" i="4" s="1"/>
  <c r="D108" i="4"/>
  <c r="C108" i="4"/>
  <c r="E108" i="4" s="1"/>
  <c r="D107" i="4"/>
  <c r="C107" i="4"/>
  <c r="E107" i="4" s="1"/>
  <c r="D106" i="4"/>
  <c r="C106" i="4"/>
  <c r="E106" i="4" s="1"/>
  <c r="D105" i="4"/>
  <c r="C105" i="4"/>
  <c r="E105" i="4" s="1"/>
  <c r="D104" i="4"/>
  <c r="C104" i="4"/>
  <c r="E104" i="4" s="1"/>
  <c r="D103" i="4"/>
  <c r="C103" i="4"/>
  <c r="E103" i="4" s="1"/>
  <c r="D102" i="4"/>
  <c r="C102" i="4"/>
  <c r="E102" i="4" s="1"/>
  <c r="D101" i="4"/>
  <c r="C101" i="4"/>
  <c r="E101" i="4" s="1"/>
  <c r="D100" i="4"/>
  <c r="C100" i="4"/>
  <c r="E100" i="4" s="1"/>
  <c r="D99" i="4"/>
  <c r="C99" i="4"/>
  <c r="E99" i="4" s="1"/>
  <c r="D98" i="4"/>
  <c r="C98" i="4"/>
  <c r="E98" i="4" s="1"/>
  <c r="D97" i="4"/>
  <c r="C97" i="4"/>
  <c r="E97" i="4" s="1"/>
  <c r="D96" i="4"/>
  <c r="C96" i="4"/>
  <c r="E96" i="4" s="1"/>
  <c r="D95" i="4"/>
  <c r="C95" i="4"/>
  <c r="E95" i="4" s="1"/>
  <c r="D94" i="4"/>
  <c r="C94" i="4"/>
  <c r="E94" i="4" s="1"/>
  <c r="D93" i="4"/>
  <c r="C93" i="4"/>
  <c r="E93" i="4" s="1"/>
  <c r="D92" i="4"/>
  <c r="C92" i="4"/>
  <c r="E92" i="4" s="1"/>
  <c r="D91" i="4"/>
  <c r="C91" i="4"/>
  <c r="E91" i="4" s="1"/>
  <c r="D90" i="4"/>
  <c r="C90" i="4"/>
  <c r="E90" i="4" s="1"/>
  <c r="D89" i="4"/>
  <c r="C89" i="4"/>
  <c r="E89" i="4" s="1"/>
  <c r="D88" i="4"/>
  <c r="C88" i="4"/>
  <c r="E88" i="4" s="1"/>
  <c r="D87" i="4"/>
  <c r="C87" i="4"/>
  <c r="E87" i="4" s="1"/>
  <c r="D86" i="4"/>
  <c r="C86" i="4"/>
  <c r="E86" i="4" s="1"/>
  <c r="D85" i="4"/>
  <c r="C85" i="4"/>
  <c r="E85" i="4" s="1"/>
  <c r="D84" i="4"/>
  <c r="C84" i="4"/>
  <c r="E84" i="4" s="1"/>
  <c r="D83" i="4"/>
  <c r="C83" i="4"/>
  <c r="E83" i="4" s="1"/>
  <c r="D82" i="4"/>
  <c r="C82" i="4"/>
  <c r="E82" i="4" s="1"/>
  <c r="D81" i="4"/>
  <c r="C81" i="4"/>
  <c r="E81" i="4" s="1"/>
  <c r="D80" i="4"/>
  <c r="C80" i="4"/>
  <c r="E80" i="4" s="1"/>
  <c r="D79" i="4"/>
  <c r="C79" i="4"/>
  <c r="E79" i="4" s="1"/>
  <c r="D78" i="4"/>
  <c r="C78" i="4"/>
  <c r="E78" i="4" s="1"/>
  <c r="D77" i="4"/>
  <c r="C77" i="4"/>
  <c r="E77" i="4" s="1"/>
  <c r="D76" i="4"/>
  <c r="C76" i="4"/>
  <c r="E76" i="4" s="1"/>
  <c r="D75" i="4"/>
  <c r="C75" i="4"/>
  <c r="E75" i="4" s="1"/>
  <c r="D74" i="4"/>
  <c r="C74" i="4"/>
  <c r="E74" i="4" s="1"/>
  <c r="D73" i="4"/>
  <c r="C73" i="4"/>
  <c r="E73" i="4" s="1"/>
  <c r="D72" i="4"/>
  <c r="C72" i="4"/>
  <c r="E72" i="4" s="1"/>
  <c r="D71" i="4"/>
  <c r="C71" i="4"/>
  <c r="E71" i="4" s="1"/>
  <c r="D70" i="4"/>
  <c r="C70" i="4"/>
  <c r="E70" i="4" s="1"/>
  <c r="D69" i="4"/>
  <c r="C69" i="4"/>
  <c r="E69" i="4" s="1"/>
  <c r="D68" i="4"/>
  <c r="C68" i="4"/>
  <c r="E68" i="4" s="1"/>
  <c r="D67" i="4"/>
  <c r="C67" i="4"/>
  <c r="E67" i="4" s="1"/>
  <c r="D66" i="4"/>
  <c r="C66" i="4"/>
  <c r="E66" i="4" s="1"/>
  <c r="D65" i="4"/>
  <c r="C65" i="4"/>
  <c r="E65" i="4" s="1"/>
  <c r="D64" i="4"/>
  <c r="C64" i="4"/>
  <c r="E64" i="4" s="1"/>
  <c r="D63" i="4"/>
  <c r="C63" i="4"/>
  <c r="E63" i="4" s="1"/>
  <c r="D62" i="4"/>
  <c r="C62" i="4"/>
  <c r="E62" i="4" s="1"/>
  <c r="D61" i="4"/>
  <c r="C61" i="4"/>
  <c r="E61" i="4" s="1"/>
  <c r="D60" i="4"/>
  <c r="C60" i="4"/>
  <c r="E60" i="4" s="1"/>
  <c r="D59" i="4"/>
  <c r="C59" i="4"/>
  <c r="E59" i="4" s="1"/>
  <c r="D58" i="4"/>
  <c r="C58" i="4"/>
  <c r="E58" i="4" s="1"/>
  <c r="D57" i="4"/>
  <c r="C57" i="4"/>
  <c r="E57" i="4" s="1"/>
  <c r="D56" i="4"/>
  <c r="C56" i="4"/>
  <c r="E56" i="4" s="1"/>
  <c r="D55" i="4"/>
  <c r="C55" i="4"/>
  <c r="E55" i="4" s="1"/>
  <c r="D54" i="4"/>
  <c r="C54" i="4"/>
  <c r="E54" i="4" s="1"/>
  <c r="D53" i="4"/>
  <c r="C53" i="4"/>
  <c r="E53" i="4" s="1"/>
  <c r="D52" i="4"/>
  <c r="C52" i="4"/>
  <c r="E52" i="4" s="1"/>
  <c r="D51" i="4"/>
  <c r="C51" i="4"/>
  <c r="E51" i="4" s="1"/>
  <c r="D50" i="4"/>
  <c r="C50" i="4"/>
  <c r="E50" i="4" s="1"/>
  <c r="D49" i="4"/>
  <c r="C49" i="4"/>
  <c r="E49" i="4" s="1"/>
  <c r="D48" i="4"/>
  <c r="C48" i="4"/>
  <c r="E48" i="4" s="1"/>
  <c r="D47" i="4"/>
  <c r="C47" i="4"/>
  <c r="E47" i="4" s="1"/>
  <c r="D46" i="4"/>
  <c r="C46" i="4"/>
  <c r="E46" i="4" s="1"/>
  <c r="D45" i="4"/>
  <c r="C45" i="4"/>
  <c r="E45" i="4" s="1"/>
  <c r="D44" i="4"/>
  <c r="C44" i="4"/>
  <c r="E44" i="4" s="1"/>
  <c r="D43" i="4"/>
  <c r="C43" i="4"/>
  <c r="E43" i="4" s="1"/>
  <c r="D42" i="4"/>
  <c r="C42" i="4"/>
  <c r="E42" i="4" s="1"/>
  <c r="D41" i="4"/>
  <c r="C41" i="4"/>
  <c r="E41" i="4" s="1"/>
  <c r="D40" i="4"/>
  <c r="C40" i="4"/>
  <c r="E40" i="4" s="1"/>
  <c r="D39" i="4"/>
  <c r="C39" i="4"/>
  <c r="E39" i="4" s="1"/>
  <c r="D38" i="4"/>
  <c r="C38" i="4"/>
  <c r="E38" i="4" s="1"/>
  <c r="D37" i="4"/>
  <c r="C37" i="4"/>
  <c r="E37" i="4" s="1"/>
  <c r="D36" i="4"/>
  <c r="C36" i="4"/>
  <c r="E36" i="4" s="1"/>
  <c r="D35" i="4"/>
  <c r="C35" i="4"/>
  <c r="E35" i="4" s="1"/>
  <c r="D34" i="4"/>
  <c r="C34" i="4"/>
  <c r="E34" i="4" s="1"/>
  <c r="D33" i="4"/>
  <c r="C33" i="4"/>
  <c r="E33" i="4" s="1"/>
  <c r="D32" i="4"/>
  <c r="C32" i="4"/>
  <c r="E32" i="4" s="1"/>
  <c r="D31" i="4"/>
  <c r="C31" i="4"/>
  <c r="E31" i="4" s="1"/>
  <c r="D30" i="4"/>
  <c r="C30" i="4"/>
  <c r="E30" i="4" s="1"/>
  <c r="D29" i="4"/>
  <c r="C29" i="4"/>
  <c r="E29" i="4" s="1"/>
  <c r="D28" i="4"/>
  <c r="C28" i="4"/>
  <c r="E28" i="4" s="1"/>
  <c r="D27" i="4"/>
  <c r="C27" i="4"/>
  <c r="E27" i="4" s="1"/>
  <c r="D26" i="4"/>
  <c r="C26" i="4"/>
  <c r="E26" i="4" s="1"/>
  <c r="D25" i="4"/>
  <c r="C25" i="4"/>
  <c r="E25" i="4" s="1"/>
  <c r="D24" i="4"/>
  <c r="C24" i="4"/>
  <c r="E24" i="4" s="1"/>
  <c r="D23" i="4"/>
  <c r="C23" i="4"/>
  <c r="E23" i="4" s="1"/>
  <c r="D22" i="4"/>
  <c r="C22" i="4"/>
  <c r="E22" i="4" s="1"/>
  <c r="D21" i="4"/>
  <c r="C21" i="4"/>
  <c r="E21" i="4" s="1"/>
  <c r="D20" i="4"/>
  <c r="C20" i="4"/>
  <c r="E20" i="4" s="1"/>
  <c r="D19" i="4"/>
  <c r="C19" i="4"/>
  <c r="E19" i="4" s="1"/>
  <c r="D18" i="4"/>
  <c r="C18" i="4"/>
  <c r="E18" i="4" s="1"/>
  <c r="D17" i="4"/>
  <c r="C17" i="4"/>
  <c r="E17" i="4" s="1"/>
  <c r="D16" i="4"/>
  <c r="C16" i="4"/>
  <c r="E16" i="4" s="1"/>
  <c r="D15" i="4"/>
  <c r="C15" i="4"/>
  <c r="E15" i="4" s="1"/>
  <c r="D14" i="4"/>
  <c r="C14" i="4"/>
  <c r="E14" i="4" s="1"/>
  <c r="D13" i="4"/>
  <c r="C13" i="4"/>
  <c r="E13" i="4" s="1"/>
  <c r="D12" i="4"/>
  <c r="C12" i="4"/>
  <c r="E12" i="4" s="1"/>
  <c r="D11" i="4"/>
  <c r="C11" i="4"/>
  <c r="E11" i="4" s="1"/>
  <c r="D10" i="4"/>
  <c r="C10" i="4"/>
  <c r="E10" i="4" s="1"/>
  <c r="D9" i="4"/>
  <c r="C9" i="4"/>
  <c r="E9" i="4" s="1"/>
  <c r="D8" i="4"/>
  <c r="C8" i="4"/>
  <c r="E8" i="4" s="1"/>
  <c r="D7" i="4"/>
  <c r="C7" i="4"/>
  <c r="E7" i="4" s="1"/>
  <c r="D6" i="4"/>
  <c r="C6" i="4"/>
  <c r="E6" i="4" s="1"/>
  <c r="D5" i="4"/>
  <c r="C5" i="4"/>
  <c r="E5" i="4" s="1"/>
  <c r="D4" i="4"/>
  <c r="C4" i="4"/>
  <c r="E4" i="4" s="1"/>
  <c r="D3" i="4"/>
  <c r="C3" i="4"/>
  <c r="E3" i="4" s="1"/>
  <c r="D2" i="4"/>
</calcChain>
</file>

<file path=xl/sharedStrings.xml><?xml version="1.0" encoding="utf-8"?>
<sst xmlns="http://schemas.openxmlformats.org/spreadsheetml/2006/main" count="22" uniqueCount="17">
  <si>
    <t>Rule used</t>
  </si>
  <si>
    <t>No l_x and no d_x are shown.</t>
  </si>
  <si>
    <t>Main rule:</t>
  </si>
  <si>
    <t>q_x^(tau) = q_x (TMI IV)</t>
  </si>
  <si>
    <t>Cause split:</t>
  </si>
  <si>
    <t>q_x = accident + illness + other causes</t>
  </si>
  <si>
    <t>Residual:</t>
  </si>
  <si>
    <t>q_x^(other causes) = q_x - q_x^(accident) - q_x^(illness)</t>
  </si>
  <si>
    <t>In the table:</t>
  </si>
  <si>
    <t>q_x^(tau) column is formula = q_x (TMI IV) cell, not a rounded sum.</t>
  </si>
  <si>
    <t>Therefore:</t>
  </si>
  <si>
    <t>q_x^(tau) is exactly the same displayed value as q_x (TMI IV).</t>
  </si>
  <si>
    <t>age (x)</t>
  </si>
  <si>
    <t>q_x(tau)</t>
  </si>
  <si>
    <t>q_x(accident)</t>
  </si>
  <si>
    <t>q_x(illness)</t>
  </si>
  <si>
    <t>q_(other causes)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</si>
</sst>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3">
    <font>
      <sz val="11"/>
      <name val="Carlito"/>
    </font>
    <font>
      <b/>
      <sz val="13"/>
      <color rgb="FFFFFFFF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/>
    <xf numFmtId="1" fontId="2" fillId="3" borderId="1" xfId="0" applyNumberFormat="1" applyFont="1" applyFill="1" applyBorder="1"/>
    <xf numFmtId="164" fontId="2" fillId="3" borderId="2" xfId="0" applyNumberFormat="1" applyFont="1" applyFill="1" applyBorder="1"/>
    <xf numFmtId="1" fontId="2" fillId="0" borderId="1" xfId="0" applyNumberFormat="1" applyFont="1" applyBorder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A4A90-63D1-46C6-9DDB-34FC604F80D1}">
  <dimension ref="A1:E113"/>
  <sheetViews>
    <sheetView workbookViewId="0">
      <selection sqref="A1:E1"/>
    </sheetView>
  </sheetViews>
  <sheetFormatPr defaultRowHeight="14.25"/>
  <cols>
    <col min="2" max="2" width="15.375" customWidth="1"/>
    <col min="3" max="3" width="17.25" customWidth="1"/>
    <col min="4" max="4" width="15.125" customWidth="1"/>
    <col min="5" max="5" width="15.25" customWidth="1"/>
  </cols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 s="4">
        <v>0</v>
      </c>
      <c r="B2" s="5">
        <v>5.2399999999999999E-3</v>
      </c>
      <c r="C2" s="5">
        <f>ROUND(B2*(IF(A2&lt;15,0.08,IF(A2&lt;30,0.3,IF(A2&lt;45,0.22,IF(A2&lt;65,0.12,IF(A2&lt;80,0.06,0.03)))))),10)</f>
        <v>4.192E-4</v>
      </c>
      <c r="D2" s="5">
        <f t="shared" ref="D2:D65" si="0">ROUND(B2*(IF(A2&lt;15,0.35,IF(A2&lt;30,0.3,IF(A2&lt;45,0.45,IF(A2&lt;65,0.65,IF(A2&lt;80,0.78,0.87)))))),10)</f>
        <v>1.8339999999999999E-3</v>
      </c>
      <c r="E2" s="5">
        <f t="shared" ref="E2:E65" si="1">B2-C2-D2</f>
        <v>2.9868000000000004E-3</v>
      </c>
    </row>
    <row r="3" spans="1:5">
      <c r="A3" s="6">
        <v>1</v>
      </c>
      <c r="B3" s="7">
        <v>5.2999999999999998E-4</v>
      </c>
      <c r="C3" s="7">
        <f t="shared" ref="C2:C65" si="2">ROUND(B3*(IF(A3&lt;15,0.08,IF(A3&lt;30,0.3,IF(A3&lt;45,0.22,IF(A3&lt;65,0.12,IF(A3&lt;80,0.06,0.03)))))),10)</f>
        <v>4.2400000000000001E-5</v>
      </c>
      <c r="D3" s="7">
        <f t="shared" si="0"/>
        <v>1.8550000000000001E-4</v>
      </c>
      <c r="E3" s="7">
        <f t="shared" si="1"/>
        <v>3.0209999999999997E-4</v>
      </c>
    </row>
    <row r="4" spans="1:5">
      <c r="A4" s="4">
        <v>2</v>
      </c>
      <c r="B4" s="5">
        <v>4.2000000000000002E-4</v>
      </c>
      <c r="C4" s="5">
        <f t="shared" si="2"/>
        <v>3.3599999999999997E-5</v>
      </c>
      <c r="D4" s="5">
        <f t="shared" si="0"/>
        <v>1.47E-4</v>
      </c>
      <c r="E4" s="5">
        <f t="shared" si="1"/>
        <v>2.3940000000000002E-4</v>
      </c>
    </row>
    <row r="5" spans="1:5">
      <c r="A5" s="6">
        <v>3</v>
      </c>
      <c r="B5" s="7">
        <v>3.4000000000000002E-4</v>
      </c>
      <c r="C5" s="7">
        <f t="shared" si="2"/>
        <v>2.72E-5</v>
      </c>
      <c r="D5" s="7">
        <f t="shared" si="0"/>
        <v>1.1900000000000001E-4</v>
      </c>
      <c r="E5" s="7">
        <f t="shared" si="1"/>
        <v>1.9379999999999999E-4</v>
      </c>
    </row>
    <row r="6" spans="1:5">
      <c r="A6" s="4">
        <v>4</v>
      </c>
      <c r="B6" s="5">
        <v>2.9E-4</v>
      </c>
      <c r="C6" s="5">
        <f t="shared" si="2"/>
        <v>2.3200000000000001E-5</v>
      </c>
      <c r="D6" s="5">
        <f t="shared" si="0"/>
        <v>1.015E-4</v>
      </c>
      <c r="E6" s="5">
        <f t="shared" si="1"/>
        <v>1.6529999999999998E-4</v>
      </c>
    </row>
    <row r="7" spans="1:5">
      <c r="A7" s="6">
        <v>5</v>
      </c>
      <c r="B7" s="7">
        <v>2.5999999999999998E-4</v>
      </c>
      <c r="C7" s="7">
        <f t="shared" si="2"/>
        <v>2.0800000000000001E-5</v>
      </c>
      <c r="D7" s="7">
        <f t="shared" si="0"/>
        <v>9.1000000000000003E-5</v>
      </c>
      <c r="E7" s="7">
        <f t="shared" si="1"/>
        <v>1.4819999999999997E-4</v>
      </c>
    </row>
    <row r="8" spans="1:5">
      <c r="A8" s="4">
        <v>6</v>
      </c>
      <c r="B8" s="5">
        <v>2.3000000000000001E-4</v>
      </c>
      <c r="C8" s="5">
        <f t="shared" si="2"/>
        <v>1.84E-5</v>
      </c>
      <c r="D8" s="5">
        <f t="shared" si="0"/>
        <v>8.0500000000000005E-5</v>
      </c>
      <c r="E8" s="5">
        <f t="shared" si="1"/>
        <v>1.3109999999999999E-4</v>
      </c>
    </row>
    <row r="9" spans="1:5">
      <c r="A9" s="6">
        <v>7</v>
      </c>
      <c r="B9" s="7">
        <v>2.1000000000000001E-4</v>
      </c>
      <c r="C9" s="7">
        <f t="shared" si="2"/>
        <v>1.6799999999999998E-5</v>
      </c>
      <c r="D9" s="7">
        <f t="shared" si="0"/>
        <v>7.3499999999999998E-5</v>
      </c>
      <c r="E9" s="7">
        <f t="shared" si="1"/>
        <v>1.1970000000000001E-4</v>
      </c>
    </row>
    <row r="10" spans="1:5">
      <c r="A10" s="4">
        <v>8</v>
      </c>
      <c r="B10" s="5">
        <v>2.0000000000000001E-4</v>
      </c>
      <c r="C10" s="5">
        <f t="shared" si="2"/>
        <v>1.5999999999999999E-5</v>
      </c>
      <c r="D10" s="5">
        <f t="shared" si="0"/>
        <v>6.9999999999999994E-5</v>
      </c>
      <c r="E10" s="5">
        <f t="shared" si="1"/>
        <v>1.1400000000000001E-4</v>
      </c>
    </row>
    <row r="11" spans="1:5">
      <c r="A11" s="6">
        <v>9</v>
      </c>
      <c r="B11" s="7">
        <v>2.0000000000000001E-4</v>
      </c>
      <c r="C11" s="7">
        <f t="shared" si="2"/>
        <v>1.5999999999999999E-5</v>
      </c>
      <c r="D11" s="7">
        <f t="shared" si="0"/>
        <v>6.9999999999999994E-5</v>
      </c>
      <c r="E11" s="7">
        <f t="shared" si="1"/>
        <v>1.1400000000000001E-4</v>
      </c>
    </row>
    <row r="12" spans="1:5">
      <c r="A12" s="4">
        <v>10</v>
      </c>
      <c r="B12" s="5">
        <v>1.9000000000000001E-4</v>
      </c>
      <c r="C12" s="5">
        <f t="shared" si="2"/>
        <v>1.52E-5</v>
      </c>
      <c r="D12" s="5">
        <f t="shared" si="0"/>
        <v>6.6500000000000004E-5</v>
      </c>
      <c r="E12" s="5">
        <f t="shared" si="1"/>
        <v>1.0830000000000002E-4</v>
      </c>
    </row>
    <row r="13" spans="1:5">
      <c r="A13" s="6">
        <v>11</v>
      </c>
      <c r="B13" s="7">
        <v>1.9000000000000001E-4</v>
      </c>
      <c r="C13" s="7">
        <f t="shared" si="2"/>
        <v>1.52E-5</v>
      </c>
      <c r="D13" s="7">
        <f t="shared" si="0"/>
        <v>6.6500000000000004E-5</v>
      </c>
      <c r="E13" s="7">
        <f t="shared" si="1"/>
        <v>1.0830000000000002E-4</v>
      </c>
    </row>
    <row r="14" spans="1:5">
      <c r="A14" s="4">
        <v>12</v>
      </c>
      <c r="B14" s="5">
        <v>1.9000000000000001E-4</v>
      </c>
      <c r="C14" s="5">
        <f t="shared" si="2"/>
        <v>1.52E-5</v>
      </c>
      <c r="D14" s="5">
        <f t="shared" si="0"/>
        <v>6.6500000000000004E-5</v>
      </c>
      <c r="E14" s="5">
        <f t="shared" si="1"/>
        <v>1.0830000000000002E-4</v>
      </c>
    </row>
    <row r="15" spans="1:5">
      <c r="A15" s="6">
        <v>13</v>
      </c>
      <c r="B15" s="7">
        <v>2.0000000000000001E-4</v>
      </c>
      <c r="C15" s="7">
        <f t="shared" si="2"/>
        <v>1.5999999999999999E-5</v>
      </c>
      <c r="D15" s="7">
        <f t="shared" si="0"/>
        <v>6.9999999999999994E-5</v>
      </c>
      <c r="E15" s="7">
        <f t="shared" si="1"/>
        <v>1.1400000000000001E-4</v>
      </c>
    </row>
    <row r="16" spans="1:5">
      <c r="A16" s="4">
        <v>14</v>
      </c>
      <c r="B16" s="5">
        <v>2.3000000000000001E-4</v>
      </c>
      <c r="C16" s="5">
        <f t="shared" si="2"/>
        <v>1.84E-5</v>
      </c>
      <c r="D16" s="5">
        <f t="shared" si="0"/>
        <v>8.0500000000000005E-5</v>
      </c>
      <c r="E16" s="5">
        <f t="shared" si="1"/>
        <v>1.3109999999999999E-4</v>
      </c>
    </row>
    <row r="17" spans="1:5">
      <c r="A17" s="6">
        <v>15</v>
      </c>
      <c r="B17" s="7">
        <v>2.7E-4</v>
      </c>
      <c r="C17" s="7">
        <f t="shared" si="2"/>
        <v>8.1000000000000004E-5</v>
      </c>
      <c r="D17" s="7">
        <f t="shared" si="0"/>
        <v>8.1000000000000004E-5</v>
      </c>
      <c r="E17" s="7">
        <f t="shared" si="1"/>
        <v>1.0799999999999998E-4</v>
      </c>
    </row>
    <row r="18" spans="1:5">
      <c r="A18" s="4">
        <v>16</v>
      </c>
      <c r="B18" s="5">
        <v>3.1E-4</v>
      </c>
      <c r="C18" s="5">
        <f t="shared" si="2"/>
        <v>9.2999999999999997E-5</v>
      </c>
      <c r="D18" s="5">
        <f t="shared" si="0"/>
        <v>9.2999999999999997E-5</v>
      </c>
      <c r="E18" s="5">
        <f t="shared" si="1"/>
        <v>1.2400000000000003E-4</v>
      </c>
    </row>
    <row r="19" spans="1:5">
      <c r="A19" s="6">
        <v>17</v>
      </c>
      <c r="B19" s="7">
        <v>3.6999999999999999E-4</v>
      </c>
      <c r="C19" s="7">
        <f t="shared" si="2"/>
        <v>1.11E-4</v>
      </c>
      <c r="D19" s="7">
        <f t="shared" si="0"/>
        <v>1.11E-4</v>
      </c>
      <c r="E19" s="7">
        <f t="shared" si="1"/>
        <v>1.4800000000000002E-4</v>
      </c>
    </row>
    <row r="20" spans="1:5">
      <c r="A20" s="4">
        <v>18</v>
      </c>
      <c r="B20" s="5">
        <v>4.2999999999999999E-4</v>
      </c>
      <c r="C20" s="5">
        <f t="shared" si="2"/>
        <v>1.2899999999999999E-4</v>
      </c>
      <c r="D20" s="5">
        <f t="shared" si="0"/>
        <v>1.2899999999999999E-4</v>
      </c>
      <c r="E20" s="5">
        <f t="shared" si="1"/>
        <v>1.7200000000000001E-4</v>
      </c>
    </row>
    <row r="21" spans="1:5">
      <c r="A21" s="6">
        <v>19</v>
      </c>
      <c r="B21" s="7">
        <v>4.6999999999999999E-4</v>
      </c>
      <c r="C21" s="7">
        <f t="shared" si="2"/>
        <v>1.4100000000000001E-4</v>
      </c>
      <c r="D21" s="7">
        <f t="shared" si="0"/>
        <v>1.4100000000000001E-4</v>
      </c>
      <c r="E21" s="7">
        <f t="shared" si="1"/>
        <v>1.8799999999999996E-4</v>
      </c>
    </row>
    <row r="22" spans="1:5">
      <c r="A22" s="4">
        <v>20</v>
      </c>
      <c r="B22" s="5">
        <v>4.8999999999999998E-4</v>
      </c>
      <c r="C22" s="5">
        <f t="shared" si="2"/>
        <v>1.47E-4</v>
      </c>
      <c r="D22" s="5">
        <f t="shared" si="0"/>
        <v>1.47E-4</v>
      </c>
      <c r="E22" s="5">
        <f t="shared" si="1"/>
        <v>1.9599999999999999E-4</v>
      </c>
    </row>
    <row r="23" spans="1:5">
      <c r="A23" s="6">
        <v>21</v>
      </c>
      <c r="B23" s="7">
        <v>4.8999999999999998E-4</v>
      </c>
      <c r="C23" s="7">
        <f t="shared" si="2"/>
        <v>1.47E-4</v>
      </c>
      <c r="D23" s="7">
        <f t="shared" si="0"/>
        <v>1.47E-4</v>
      </c>
      <c r="E23" s="7">
        <f t="shared" si="1"/>
        <v>1.9599999999999999E-4</v>
      </c>
    </row>
    <row r="24" spans="1:5">
      <c r="A24" s="4">
        <v>22</v>
      </c>
      <c r="B24" s="5">
        <v>4.8999999999999998E-4</v>
      </c>
      <c r="C24" s="5">
        <f t="shared" si="2"/>
        <v>1.47E-4</v>
      </c>
      <c r="D24" s="5">
        <f t="shared" si="0"/>
        <v>1.47E-4</v>
      </c>
      <c r="E24" s="5">
        <f t="shared" si="1"/>
        <v>1.9599999999999999E-4</v>
      </c>
    </row>
    <row r="25" spans="1:5">
      <c r="A25" s="6">
        <v>23</v>
      </c>
      <c r="B25" s="7">
        <v>4.8999999999999998E-4</v>
      </c>
      <c r="C25" s="7">
        <f t="shared" si="2"/>
        <v>1.47E-4</v>
      </c>
      <c r="D25" s="7">
        <f t="shared" si="0"/>
        <v>1.47E-4</v>
      </c>
      <c r="E25" s="7">
        <f t="shared" si="1"/>
        <v>1.9599999999999999E-4</v>
      </c>
    </row>
    <row r="26" spans="1:5">
      <c r="A26" s="4">
        <v>24</v>
      </c>
      <c r="B26" s="5">
        <v>5.0000000000000001E-4</v>
      </c>
      <c r="C26" s="5">
        <f t="shared" si="2"/>
        <v>1.4999999999999999E-4</v>
      </c>
      <c r="D26" s="5">
        <f t="shared" si="0"/>
        <v>1.4999999999999999E-4</v>
      </c>
      <c r="E26" s="5">
        <f t="shared" si="1"/>
        <v>2.0000000000000006E-4</v>
      </c>
    </row>
    <row r="27" spans="1:5">
      <c r="A27" s="6">
        <v>25</v>
      </c>
      <c r="B27" s="7">
        <v>5.1999999999999995E-4</v>
      </c>
      <c r="C27" s="7">
        <f t="shared" si="2"/>
        <v>1.56E-4</v>
      </c>
      <c r="D27" s="7">
        <f t="shared" si="0"/>
        <v>1.56E-4</v>
      </c>
      <c r="E27" s="7">
        <f t="shared" si="1"/>
        <v>2.0799999999999996E-4</v>
      </c>
    </row>
    <row r="28" spans="1:5">
      <c r="A28" s="4">
        <v>26</v>
      </c>
      <c r="B28" s="5">
        <v>5.5000000000000003E-4</v>
      </c>
      <c r="C28" s="5">
        <f t="shared" si="2"/>
        <v>1.65E-4</v>
      </c>
      <c r="D28" s="5">
        <f t="shared" si="0"/>
        <v>1.65E-4</v>
      </c>
      <c r="E28" s="5">
        <f t="shared" si="1"/>
        <v>2.2000000000000003E-4</v>
      </c>
    </row>
    <row r="29" spans="1:5">
      <c r="A29" s="6">
        <v>27</v>
      </c>
      <c r="B29" s="7">
        <v>5.9999999999999995E-4</v>
      </c>
      <c r="C29" s="7">
        <f t="shared" si="2"/>
        <v>1.8000000000000001E-4</v>
      </c>
      <c r="D29" s="7">
        <f t="shared" si="0"/>
        <v>1.8000000000000001E-4</v>
      </c>
      <c r="E29" s="7">
        <f t="shared" si="1"/>
        <v>2.399999999999999E-4</v>
      </c>
    </row>
    <row r="30" spans="1:5">
      <c r="A30" s="4">
        <v>28</v>
      </c>
      <c r="B30" s="5">
        <v>6.4999999999999997E-4</v>
      </c>
      <c r="C30" s="5">
        <f t="shared" si="2"/>
        <v>1.95E-4</v>
      </c>
      <c r="D30" s="5">
        <f t="shared" si="0"/>
        <v>1.95E-4</v>
      </c>
      <c r="E30" s="5">
        <f t="shared" si="1"/>
        <v>2.6000000000000003E-4</v>
      </c>
    </row>
    <row r="31" spans="1:5">
      <c r="A31" s="6">
        <v>29</v>
      </c>
      <c r="B31" s="7">
        <v>6.9999999999999999E-4</v>
      </c>
      <c r="C31" s="7">
        <f t="shared" si="2"/>
        <v>2.1000000000000001E-4</v>
      </c>
      <c r="D31" s="7">
        <f t="shared" si="0"/>
        <v>2.1000000000000001E-4</v>
      </c>
      <c r="E31" s="7">
        <f t="shared" si="1"/>
        <v>2.7999999999999998E-4</v>
      </c>
    </row>
    <row r="32" spans="1:5">
      <c r="A32" s="4">
        <v>30</v>
      </c>
      <c r="B32" s="5">
        <v>7.5000000000000002E-4</v>
      </c>
      <c r="C32" s="5">
        <f t="shared" si="2"/>
        <v>1.65E-4</v>
      </c>
      <c r="D32" s="5">
        <f t="shared" si="0"/>
        <v>3.3750000000000002E-4</v>
      </c>
      <c r="E32" s="5">
        <f t="shared" si="1"/>
        <v>2.475E-4</v>
      </c>
    </row>
    <row r="33" spans="1:5">
      <c r="A33" s="6">
        <v>31</v>
      </c>
      <c r="B33" s="7">
        <v>8.0999999999999996E-4</v>
      </c>
      <c r="C33" s="7">
        <f t="shared" si="2"/>
        <v>1.7819999999999999E-4</v>
      </c>
      <c r="D33" s="7">
        <f t="shared" si="0"/>
        <v>3.6450000000000002E-4</v>
      </c>
      <c r="E33" s="7">
        <f t="shared" si="1"/>
        <v>2.6729999999999994E-4</v>
      </c>
    </row>
    <row r="34" spans="1:5">
      <c r="A34" s="4">
        <v>32</v>
      </c>
      <c r="B34" s="5">
        <v>8.7000000000000001E-4</v>
      </c>
      <c r="C34" s="5">
        <f t="shared" si="2"/>
        <v>1.9139999999999999E-4</v>
      </c>
      <c r="D34" s="5">
        <f t="shared" si="0"/>
        <v>3.9149999999999998E-4</v>
      </c>
      <c r="E34" s="5">
        <f t="shared" si="1"/>
        <v>2.8710000000000004E-4</v>
      </c>
    </row>
    <row r="35" spans="1:5">
      <c r="A35" s="6">
        <v>33</v>
      </c>
      <c r="B35" s="7">
        <v>9.3000000000000005E-4</v>
      </c>
      <c r="C35" s="7">
        <f t="shared" si="2"/>
        <v>2.0460000000000001E-4</v>
      </c>
      <c r="D35" s="7">
        <f t="shared" si="0"/>
        <v>4.1849999999999998E-4</v>
      </c>
      <c r="E35" s="7">
        <f t="shared" si="1"/>
        <v>3.0690000000000009E-4</v>
      </c>
    </row>
    <row r="36" spans="1:5">
      <c r="A36" s="4">
        <v>34</v>
      </c>
      <c r="B36" s="5">
        <v>9.8999999999999999E-4</v>
      </c>
      <c r="C36" s="5">
        <f t="shared" si="2"/>
        <v>2.1780000000000001E-4</v>
      </c>
      <c r="D36" s="5">
        <f t="shared" si="0"/>
        <v>4.4549999999999999E-4</v>
      </c>
      <c r="E36" s="5">
        <f t="shared" si="1"/>
        <v>3.2670000000000003E-4</v>
      </c>
    </row>
    <row r="37" spans="1:5">
      <c r="A37" s="6">
        <v>35</v>
      </c>
      <c r="B37" s="7">
        <v>1.07E-3</v>
      </c>
      <c r="C37" s="7">
        <f t="shared" si="2"/>
        <v>2.354E-4</v>
      </c>
      <c r="D37" s="7">
        <f t="shared" si="0"/>
        <v>4.8149999999999999E-4</v>
      </c>
      <c r="E37" s="7">
        <f t="shared" si="1"/>
        <v>3.5310000000000002E-4</v>
      </c>
    </row>
    <row r="38" spans="1:5">
      <c r="A38" s="4">
        <v>36</v>
      </c>
      <c r="B38" s="5">
        <v>1.16E-3</v>
      </c>
      <c r="C38" s="5">
        <f t="shared" si="2"/>
        <v>2.5520000000000002E-4</v>
      </c>
      <c r="D38" s="5">
        <f t="shared" si="0"/>
        <v>5.22E-4</v>
      </c>
      <c r="E38" s="5">
        <f t="shared" si="1"/>
        <v>3.8279999999999998E-4</v>
      </c>
    </row>
    <row r="39" spans="1:5">
      <c r="A39" s="6">
        <v>37</v>
      </c>
      <c r="B39" s="7">
        <v>1.2700000000000001E-3</v>
      </c>
      <c r="C39" s="7">
        <f t="shared" si="2"/>
        <v>2.7940000000000002E-4</v>
      </c>
      <c r="D39" s="7">
        <f t="shared" si="0"/>
        <v>5.7149999999999996E-4</v>
      </c>
      <c r="E39" s="7">
        <f t="shared" si="1"/>
        <v>4.1910000000000016E-4</v>
      </c>
    </row>
    <row r="40" spans="1:5">
      <c r="A40" s="4">
        <v>38</v>
      </c>
      <c r="B40" s="5">
        <v>1.39E-3</v>
      </c>
      <c r="C40" s="5">
        <f t="shared" si="2"/>
        <v>3.0580000000000001E-4</v>
      </c>
      <c r="D40" s="5">
        <f t="shared" si="0"/>
        <v>6.2549999999999997E-4</v>
      </c>
      <c r="E40" s="5">
        <f t="shared" si="1"/>
        <v>4.5870000000000004E-4</v>
      </c>
    </row>
    <row r="41" spans="1:5">
      <c r="A41" s="6">
        <v>39</v>
      </c>
      <c r="B41" s="7">
        <v>1.5499999999999999E-3</v>
      </c>
      <c r="C41" s="7">
        <f t="shared" si="2"/>
        <v>3.4099999999999999E-4</v>
      </c>
      <c r="D41" s="7">
        <f t="shared" si="0"/>
        <v>6.9749999999999999E-4</v>
      </c>
      <c r="E41" s="7">
        <f t="shared" si="1"/>
        <v>5.1150000000000002E-4</v>
      </c>
    </row>
    <row r="42" spans="1:5">
      <c r="A42" s="4">
        <v>40</v>
      </c>
      <c r="B42" s="5">
        <v>1.73E-3</v>
      </c>
      <c r="C42" s="5">
        <f t="shared" si="2"/>
        <v>3.8059999999999998E-4</v>
      </c>
      <c r="D42" s="5">
        <f t="shared" si="0"/>
        <v>7.785E-4</v>
      </c>
      <c r="E42" s="5">
        <f t="shared" si="1"/>
        <v>5.7089999999999994E-4</v>
      </c>
    </row>
    <row r="43" spans="1:5">
      <c r="A43" s="6">
        <v>41</v>
      </c>
      <c r="B43" s="7">
        <v>1.9300000000000001E-3</v>
      </c>
      <c r="C43" s="7">
        <f t="shared" si="2"/>
        <v>4.2460000000000002E-4</v>
      </c>
      <c r="D43" s="7">
        <f t="shared" si="0"/>
        <v>8.6850000000000002E-4</v>
      </c>
      <c r="E43" s="7">
        <f t="shared" si="1"/>
        <v>6.3690000000000003E-4</v>
      </c>
    </row>
    <row r="44" spans="1:5">
      <c r="A44" s="4">
        <v>42</v>
      </c>
      <c r="B44" s="5">
        <v>2.16E-3</v>
      </c>
      <c r="C44" s="5">
        <f t="shared" si="2"/>
        <v>4.752E-4</v>
      </c>
      <c r="D44" s="5">
        <f t="shared" si="0"/>
        <v>9.7199999999999999E-4</v>
      </c>
      <c r="E44" s="5">
        <f t="shared" si="1"/>
        <v>7.1279999999999998E-4</v>
      </c>
    </row>
    <row r="45" spans="1:5">
      <c r="A45" s="6">
        <v>43</v>
      </c>
      <c r="B45" s="7">
        <v>2.4099999999999998E-3</v>
      </c>
      <c r="C45" s="7">
        <f t="shared" si="2"/>
        <v>5.3019999999999999E-4</v>
      </c>
      <c r="D45" s="7">
        <f t="shared" si="0"/>
        <v>1.0845E-3</v>
      </c>
      <c r="E45" s="7">
        <f t="shared" si="1"/>
        <v>7.9529999999999987E-4</v>
      </c>
    </row>
    <row r="46" spans="1:5">
      <c r="A46" s="4">
        <v>44</v>
      </c>
      <c r="B46" s="5">
        <v>2.7000000000000001E-3</v>
      </c>
      <c r="C46" s="5">
        <f t="shared" si="2"/>
        <v>5.9400000000000002E-4</v>
      </c>
      <c r="D46" s="5">
        <f t="shared" si="0"/>
        <v>1.2149999999999999E-3</v>
      </c>
      <c r="E46" s="5">
        <f t="shared" si="1"/>
        <v>8.910000000000003E-4</v>
      </c>
    </row>
    <row r="47" spans="1:5">
      <c r="A47" s="6">
        <v>45</v>
      </c>
      <c r="B47" s="7">
        <v>3.0200000000000001E-3</v>
      </c>
      <c r="C47" s="7">
        <f t="shared" si="2"/>
        <v>3.6240000000000003E-4</v>
      </c>
      <c r="D47" s="7">
        <f t="shared" si="0"/>
        <v>1.9629999999999999E-3</v>
      </c>
      <c r="E47" s="7">
        <f t="shared" si="1"/>
        <v>6.9460000000000008E-4</v>
      </c>
    </row>
    <row r="48" spans="1:5">
      <c r="A48" s="4">
        <v>46</v>
      </c>
      <c r="B48" s="5">
        <v>3.3800000000000002E-3</v>
      </c>
      <c r="C48" s="5">
        <f t="shared" si="2"/>
        <v>4.0559999999999999E-4</v>
      </c>
      <c r="D48" s="5">
        <f t="shared" si="0"/>
        <v>2.1970000000000002E-3</v>
      </c>
      <c r="E48" s="5">
        <f t="shared" si="1"/>
        <v>7.7740000000000014E-4</v>
      </c>
    </row>
    <row r="49" spans="1:5">
      <c r="A49" s="6">
        <v>47</v>
      </c>
      <c r="B49" s="7">
        <v>3.7699999999999999E-3</v>
      </c>
      <c r="C49" s="7">
        <f t="shared" si="2"/>
        <v>4.5239999999999999E-4</v>
      </c>
      <c r="D49" s="7">
        <f t="shared" si="0"/>
        <v>2.4505E-3</v>
      </c>
      <c r="E49" s="7">
        <f t="shared" si="1"/>
        <v>8.6709999999999999E-4</v>
      </c>
    </row>
    <row r="50" spans="1:5">
      <c r="A50" s="4">
        <v>48</v>
      </c>
      <c r="B50" s="5">
        <v>4.1799999999999997E-3</v>
      </c>
      <c r="C50" s="5">
        <f t="shared" si="2"/>
        <v>5.0160000000000005E-4</v>
      </c>
      <c r="D50" s="5">
        <f t="shared" si="0"/>
        <v>2.7169999999999998E-3</v>
      </c>
      <c r="E50" s="5">
        <f t="shared" si="1"/>
        <v>9.6139999999999984E-4</v>
      </c>
    </row>
    <row r="51" spans="1:5">
      <c r="A51" s="6">
        <v>49</v>
      </c>
      <c r="B51" s="7">
        <v>4.6100000000000004E-3</v>
      </c>
      <c r="C51" s="7">
        <f t="shared" si="2"/>
        <v>5.532E-4</v>
      </c>
      <c r="D51" s="7">
        <f t="shared" si="0"/>
        <v>2.9965E-3</v>
      </c>
      <c r="E51" s="7">
        <f t="shared" si="1"/>
        <v>1.0603000000000001E-3</v>
      </c>
    </row>
    <row r="52" spans="1:5">
      <c r="A52" s="4">
        <v>50</v>
      </c>
      <c r="B52" s="5">
        <v>5.0800000000000003E-3</v>
      </c>
      <c r="C52" s="5">
        <f t="shared" si="2"/>
        <v>6.0959999999999996E-4</v>
      </c>
      <c r="D52" s="5">
        <f t="shared" si="0"/>
        <v>3.3019999999999998E-3</v>
      </c>
      <c r="E52" s="5">
        <f t="shared" si="1"/>
        <v>1.1684000000000004E-3</v>
      </c>
    </row>
    <row r="53" spans="1:5">
      <c r="A53" s="6">
        <v>51</v>
      </c>
      <c r="B53" s="7">
        <v>5.5599999999999998E-3</v>
      </c>
      <c r="C53" s="7">
        <f t="shared" si="2"/>
        <v>6.6719999999999995E-4</v>
      </c>
      <c r="D53" s="7">
        <f t="shared" si="0"/>
        <v>3.614E-3</v>
      </c>
      <c r="E53" s="7">
        <f t="shared" si="1"/>
        <v>1.2788000000000001E-3</v>
      </c>
    </row>
    <row r="54" spans="1:5">
      <c r="A54" s="4">
        <v>52</v>
      </c>
      <c r="B54" s="5">
        <v>6.0899999999999999E-3</v>
      </c>
      <c r="C54" s="5">
        <f t="shared" si="2"/>
        <v>7.3079999999999998E-4</v>
      </c>
      <c r="D54" s="5">
        <f t="shared" si="0"/>
        <v>3.9585000000000002E-3</v>
      </c>
      <c r="E54" s="5">
        <f t="shared" si="1"/>
        <v>1.4006999999999995E-3</v>
      </c>
    </row>
    <row r="55" spans="1:5">
      <c r="A55" s="6">
        <v>53</v>
      </c>
      <c r="B55" s="7">
        <v>6.6699999999999997E-3</v>
      </c>
      <c r="C55" s="7">
        <f t="shared" si="2"/>
        <v>8.0040000000000005E-4</v>
      </c>
      <c r="D55" s="7">
        <f t="shared" si="0"/>
        <v>4.3354999999999999E-3</v>
      </c>
      <c r="E55" s="7">
        <f t="shared" si="1"/>
        <v>1.5341E-3</v>
      </c>
    </row>
    <row r="56" spans="1:5">
      <c r="A56" s="4">
        <v>54</v>
      </c>
      <c r="B56" s="5">
        <v>7.2700000000000004E-3</v>
      </c>
      <c r="C56" s="5">
        <f t="shared" si="2"/>
        <v>8.7239999999999996E-4</v>
      </c>
      <c r="D56" s="5">
        <f t="shared" si="0"/>
        <v>4.7254999999999997E-3</v>
      </c>
      <c r="E56" s="5">
        <f t="shared" si="1"/>
        <v>1.672100000000001E-3</v>
      </c>
    </row>
    <row r="57" spans="1:5">
      <c r="A57" s="6">
        <v>55</v>
      </c>
      <c r="B57" s="7">
        <v>7.8899999999999994E-3</v>
      </c>
      <c r="C57" s="7">
        <f t="shared" si="2"/>
        <v>9.4680000000000003E-4</v>
      </c>
      <c r="D57" s="7">
        <f t="shared" si="0"/>
        <v>5.1285000000000002E-3</v>
      </c>
      <c r="E57" s="7">
        <f t="shared" si="1"/>
        <v>1.814699999999999E-3</v>
      </c>
    </row>
    <row r="58" spans="1:5">
      <c r="A58" s="4">
        <v>56</v>
      </c>
      <c r="B58" s="5">
        <v>8.4700000000000001E-3</v>
      </c>
      <c r="C58" s="5">
        <f t="shared" si="2"/>
        <v>1.0164E-3</v>
      </c>
      <c r="D58" s="5">
        <f t="shared" si="0"/>
        <v>5.5055E-3</v>
      </c>
      <c r="E58" s="5">
        <f t="shared" si="1"/>
        <v>1.9481000000000004E-3</v>
      </c>
    </row>
    <row r="59" spans="1:5">
      <c r="A59" s="6">
        <v>57</v>
      </c>
      <c r="B59" s="7">
        <v>8.9800000000000001E-3</v>
      </c>
      <c r="C59" s="7">
        <f t="shared" si="2"/>
        <v>1.0776E-3</v>
      </c>
      <c r="D59" s="7">
        <f t="shared" si="0"/>
        <v>5.8370000000000002E-3</v>
      </c>
      <c r="E59" s="7">
        <f t="shared" si="1"/>
        <v>2.0654000000000002E-3</v>
      </c>
    </row>
    <row r="60" spans="1:5">
      <c r="A60" s="4">
        <v>58</v>
      </c>
      <c r="B60" s="5">
        <v>9.3900000000000008E-3</v>
      </c>
      <c r="C60" s="5">
        <f t="shared" si="2"/>
        <v>1.1268000000000001E-3</v>
      </c>
      <c r="D60" s="5">
        <f t="shared" si="0"/>
        <v>6.1035000000000004E-3</v>
      </c>
      <c r="E60" s="5">
        <f t="shared" si="1"/>
        <v>2.1596999999999996E-3</v>
      </c>
    </row>
    <row r="61" spans="1:5">
      <c r="A61" s="6">
        <v>59</v>
      </c>
      <c r="B61" s="7">
        <v>9.7099999999999999E-3</v>
      </c>
      <c r="C61" s="7">
        <f t="shared" si="2"/>
        <v>1.1651999999999999E-3</v>
      </c>
      <c r="D61" s="7">
        <f t="shared" si="0"/>
        <v>6.3115000000000003E-3</v>
      </c>
      <c r="E61" s="7">
        <f t="shared" si="1"/>
        <v>2.2332999999999997E-3</v>
      </c>
    </row>
    <row r="62" spans="1:5">
      <c r="A62" s="4">
        <v>60</v>
      </c>
      <c r="B62" s="5">
        <v>9.9900000000000006E-3</v>
      </c>
      <c r="C62" s="5">
        <f t="shared" si="2"/>
        <v>1.1988000000000001E-3</v>
      </c>
      <c r="D62" s="5">
        <f t="shared" si="0"/>
        <v>6.4935000000000001E-3</v>
      </c>
      <c r="E62" s="5">
        <f t="shared" si="1"/>
        <v>2.2977000000000006E-3</v>
      </c>
    </row>
    <row r="63" spans="1:5">
      <c r="A63" s="6">
        <v>61</v>
      </c>
      <c r="B63" s="7">
        <v>1.0240000000000001E-2</v>
      </c>
      <c r="C63" s="7">
        <f t="shared" si="2"/>
        <v>1.2287999999999999E-3</v>
      </c>
      <c r="D63" s="7">
        <f t="shared" si="0"/>
        <v>6.6559999999999996E-3</v>
      </c>
      <c r="E63" s="7">
        <f t="shared" si="1"/>
        <v>2.3552000000000009E-3</v>
      </c>
    </row>
    <row r="64" spans="1:5">
      <c r="A64" s="4">
        <v>62</v>
      </c>
      <c r="B64" s="5">
        <v>1.0460000000000001E-2</v>
      </c>
      <c r="C64" s="5">
        <f t="shared" si="2"/>
        <v>1.2551999999999999E-3</v>
      </c>
      <c r="D64" s="5">
        <f t="shared" si="0"/>
        <v>6.7990000000000004E-3</v>
      </c>
      <c r="E64" s="5">
        <f t="shared" si="1"/>
        <v>2.4058000000000005E-3</v>
      </c>
    </row>
    <row r="65" spans="1:5">
      <c r="A65" s="6">
        <v>63</v>
      </c>
      <c r="B65" s="7">
        <v>1.0710000000000001E-2</v>
      </c>
      <c r="C65" s="7">
        <f t="shared" si="2"/>
        <v>1.2852E-3</v>
      </c>
      <c r="D65" s="7">
        <f t="shared" si="0"/>
        <v>6.9614999999999998E-3</v>
      </c>
      <c r="E65" s="7">
        <f t="shared" si="1"/>
        <v>2.4633000000000007E-3</v>
      </c>
    </row>
    <row r="66" spans="1:5">
      <c r="A66" s="4">
        <v>64</v>
      </c>
      <c r="B66" s="5">
        <v>1.1039999999999999E-2</v>
      </c>
      <c r="C66" s="5">
        <f t="shared" ref="C66:C113" si="3">ROUND(B66*(IF(A66&lt;15,0.08,IF(A66&lt;30,0.3,IF(A66&lt;45,0.22,IF(A66&lt;65,0.12,IF(A66&lt;80,0.06,0.03)))))),10)</f>
        <v>1.3247999999999999E-3</v>
      </c>
      <c r="D66" s="5">
        <f t="shared" ref="D66:D113" si="4">ROUND(B66*(IF(A66&lt;15,0.35,IF(A66&lt;30,0.3,IF(A66&lt;45,0.45,IF(A66&lt;65,0.65,IF(A66&lt;80,0.78,0.87)))))),10)</f>
        <v>7.1760000000000001E-3</v>
      </c>
      <c r="E66" s="5">
        <f t="shared" ref="E66:E113" si="5">B66-C66-D66</f>
        <v>2.5392000000000001E-3</v>
      </c>
    </row>
    <row r="67" spans="1:5">
      <c r="A67" s="6">
        <v>65</v>
      </c>
      <c r="B67" s="7">
        <v>1.146E-2</v>
      </c>
      <c r="C67" s="7">
        <f t="shared" si="3"/>
        <v>6.8760000000000002E-4</v>
      </c>
      <c r="D67" s="7">
        <f t="shared" si="4"/>
        <v>8.9388000000000002E-3</v>
      </c>
      <c r="E67" s="7">
        <f t="shared" si="5"/>
        <v>1.8335999999999995E-3</v>
      </c>
    </row>
    <row r="68" spans="1:5">
      <c r="A68" s="4">
        <v>66</v>
      </c>
      <c r="B68" s="5">
        <v>1.1990000000000001E-2</v>
      </c>
      <c r="C68" s="5">
        <f t="shared" si="3"/>
        <v>7.1940000000000003E-4</v>
      </c>
      <c r="D68" s="5">
        <f t="shared" si="4"/>
        <v>9.3521999999999997E-3</v>
      </c>
      <c r="E68" s="5">
        <f t="shared" si="5"/>
        <v>1.9184000000000007E-3</v>
      </c>
    </row>
    <row r="69" spans="1:5">
      <c r="A69" s="6">
        <v>67</v>
      </c>
      <c r="B69" s="7">
        <v>1.26E-2</v>
      </c>
      <c r="C69" s="7">
        <f t="shared" si="3"/>
        <v>7.5600000000000005E-4</v>
      </c>
      <c r="D69" s="7">
        <f t="shared" si="4"/>
        <v>9.8279999999999999E-3</v>
      </c>
      <c r="E69" s="7">
        <f t="shared" si="5"/>
        <v>2.0160000000000004E-3</v>
      </c>
    </row>
    <row r="70" spans="1:5">
      <c r="A70" s="4">
        <v>68</v>
      </c>
      <c r="B70" s="5">
        <v>1.329E-2</v>
      </c>
      <c r="C70" s="5">
        <f t="shared" si="3"/>
        <v>7.9739999999999998E-4</v>
      </c>
      <c r="D70" s="5">
        <f t="shared" si="4"/>
        <v>1.0366200000000001E-2</v>
      </c>
      <c r="E70" s="5">
        <f t="shared" si="5"/>
        <v>2.1263999999999988E-3</v>
      </c>
    </row>
    <row r="71" spans="1:5">
      <c r="A71" s="6">
        <v>69</v>
      </c>
      <c r="B71" s="7">
        <v>1.405E-2</v>
      </c>
      <c r="C71" s="7">
        <f t="shared" si="3"/>
        <v>8.43E-4</v>
      </c>
      <c r="D71" s="7">
        <f t="shared" si="4"/>
        <v>1.0959E-2</v>
      </c>
      <c r="E71" s="7">
        <f t="shared" si="5"/>
        <v>2.248E-3</v>
      </c>
    </row>
    <row r="72" spans="1:5">
      <c r="A72" s="4">
        <v>70</v>
      </c>
      <c r="B72" s="5">
        <v>1.485E-2</v>
      </c>
      <c r="C72" s="5">
        <f t="shared" si="3"/>
        <v>8.9099999999999997E-4</v>
      </c>
      <c r="D72" s="5">
        <f t="shared" si="4"/>
        <v>1.1583E-2</v>
      </c>
      <c r="E72" s="5">
        <f t="shared" si="5"/>
        <v>2.3760000000000014E-3</v>
      </c>
    </row>
    <row r="73" spans="1:5">
      <c r="A73" s="6">
        <v>71</v>
      </c>
      <c r="B73" s="7">
        <v>1.5740000000000001E-2</v>
      </c>
      <c r="C73" s="7">
        <f t="shared" si="3"/>
        <v>9.4439999999999997E-4</v>
      </c>
      <c r="D73" s="7">
        <f t="shared" si="4"/>
        <v>1.22772E-2</v>
      </c>
      <c r="E73" s="7">
        <f t="shared" si="5"/>
        <v>2.5184000000000005E-3</v>
      </c>
    </row>
    <row r="74" spans="1:5">
      <c r="A74" s="4">
        <v>72</v>
      </c>
      <c r="B74" s="5">
        <v>1.67E-2</v>
      </c>
      <c r="C74" s="5">
        <f t="shared" si="3"/>
        <v>1.0020000000000001E-3</v>
      </c>
      <c r="D74" s="5">
        <f t="shared" si="4"/>
        <v>1.3025999999999999E-2</v>
      </c>
      <c r="E74" s="5">
        <f t="shared" si="5"/>
        <v>2.6720000000000008E-3</v>
      </c>
    </row>
    <row r="75" spans="1:5">
      <c r="A75" s="6">
        <v>73</v>
      </c>
      <c r="B75" s="7">
        <v>1.7770000000000001E-2</v>
      </c>
      <c r="C75" s="7">
        <f t="shared" si="3"/>
        <v>1.0662E-3</v>
      </c>
      <c r="D75" s="7">
        <f t="shared" si="4"/>
        <v>1.3860600000000001E-2</v>
      </c>
      <c r="E75" s="7">
        <f t="shared" si="5"/>
        <v>2.8432000000000006E-3</v>
      </c>
    </row>
    <row r="76" spans="1:5">
      <c r="A76" s="4">
        <v>74</v>
      </c>
      <c r="B76" s="5">
        <v>1.8950000000000002E-2</v>
      </c>
      <c r="C76" s="5">
        <f t="shared" si="3"/>
        <v>1.137E-3</v>
      </c>
      <c r="D76" s="5">
        <f t="shared" si="4"/>
        <v>1.4781000000000001E-2</v>
      </c>
      <c r="E76" s="5">
        <f t="shared" si="5"/>
        <v>3.0320000000000017E-3</v>
      </c>
    </row>
    <row r="77" spans="1:5">
      <c r="A77" s="6">
        <v>75</v>
      </c>
      <c r="B77" s="7">
        <v>2.026E-2</v>
      </c>
      <c r="C77" s="7">
        <f t="shared" si="3"/>
        <v>1.2156000000000001E-3</v>
      </c>
      <c r="D77" s="7">
        <f t="shared" si="4"/>
        <v>1.5802799999999999E-2</v>
      </c>
      <c r="E77" s="7">
        <f t="shared" si="5"/>
        <v>3.2416000000000007E-3</v>
      </c>
    </row>
    <row r="78" spans="1:5">
      <c r="A78" s="4">
        <v>76</v>
      </c>
      <c r="B78" s="5">
        <v>2.3689999999999999E-2</v>
      </c>
      <c r="C78" s="5">
        <f t="shared" si="3"/>
        <v>1.4214E-3</v>
      </c>
      <c r="D78" s="5">
        <f t="shared" si="4"/>
        <v>1.84782E-2</v>
      </c>
      <c r="E78" s="5">
        <f t="shared" si="5"/>
        <v>3.7903999999999993E-3</v>
      </c>
    </row>
    <row r="79" spans="1:5">
      <c r="A79" s="6">
        <v>77</v>
      </c>
      <c r="B79" s="7">
        <v>2.7380000000000002E-2</v>
      </c>
      <c r="C79" s="7">
        <f t="shared" si="3"/>
        <v>1.6428E-3</v>
      </c>
      <c r="D79" s="7">
        <f t="shared" si="4"/>
        <v>2.1356400000000001E-2</v>
      </c>
      <c r="E79" s="7">
        <f t="shared" si="5"/>
        <v>4.3808000000000007E-3</v>
      </c>
    </row>
    <row r="80" spans="1:5">
      <c r="A80" s="4">
        <v>78</v>
      </c>
      <c r="B80" s="5">
        <v>3.1300000000000001E-2</v>
      </c>
      <c r="C80" s="5">
        <f t="shared" si="3"/>
        <v>1.8779999999999999E-3</v>
      </c>
      <c r="D80" s="5">
        <f t="shared" si="4"/>
        <v>2.4414000000000002E-2</v>
      </c>
      <c r="E80" s="5">
        <f t="shared" si="5"/>
        <v>5.0079999999999986E-3</v>
      </c>
    </row>
    <row r="81" spans="1:5">
      <c r="A81" s="6">
        <v>79</v>
      </c>
      <c r="B81" s="7">
        <v>3.6929999999999998E-2</v>
      </c>
      <c r="C81" s="7">
        <f t="shared" si="3"/>
        <v>2.2158E-3</v>
      </c>
      <c r="D81" s="7">
        <f t="shared" si="4"/>
        <v>2.8805399999999998E-2</v>
      </c>
      <c r="E81" s="7">
        <f t="shared" si="5"/>
        <v>5.9088000000000022E-3</v>
      </c>
    </row>
    <row r="82" spans="1:5">
      <c r="A82" s="4">
        <v>80</v>
      </c>
      <c r="B82" s="5">
        <v>4.5179999999999998E-2</v>
      </c>
      <c r="C82" s="5">
        <f t="shared" si="3"/>
        <v>1.3554000000000001E-3</v>
      </c>
      <c r="D82" s="5">
        <f t="shared" si="4"/>
        <v>3.9306599999999997E-2</v>
      </c>
      <c r="E82" s="5">
        <f t="shared" si="5"/>
        <v>4.5180000000000012E-3</v>
      </c>
    </row>
    <row r="83" spans="1:5">
      <c r="A83" s="6">
        <v>81</v>
      </c>
      <c r="B83" s="7">
        <v>5.527E-2</v>
      </c>
      <c r="C83" s="7">
        <f t="shared" si="3"/>
        <v>1.6581E-3</v>
      </c>
      <c r="D83" s="7">
        <f t="shared" si="4"/>
        <v>4.80849E-2</v>
      </c>
      <c r="E83" s="7">
        <f t="shared" si="5"/>
        <v>5.5269999999999972E-3</v>
      </c>
    </row>
    <row r="84" spans="1:5">
      <c r="A84" s="4">
        <v>82</v>
      </c>
      <c r="B84" s="5">
        <v>6.7320000000000005E-2</v>
      </c>
      <c r="C84" s="5">
        <f t="shared" si="3"/>
        <v>2.0195999999999999E-3</v>
      </c>
      <c r="D84" s="5">
        <f t="shared" si="4"/>
        <v>5.85684E-2</v>
      </c>
      <c r="E84" s="5">
        <f t="shared" si="5"/>
        <v>6.7320000000000088E-3</v>
      </c>
    </row>
    <row r="85" spans="1:5">
      <c r="A85" s="6">
        <v>83</v>
      </c>
      <c r="B85" s="7">
        <v>8.2280000000000006E-2</v>
      </c>
      <c r="C85" s="7">
        <f t="shared" si="3"/>
        <v>2.4683999999999999E-3</v>
      </c>
      <c r="D85" s="7">
        <f t="shared" si="4"/>
        <v>7.1583599999999997E-2</v>
      </c>
      <c r="E85" s="7">
        <f t="shared" si="5"/>
        <v>8.2280000000000131E-3</v>
      </c>
    </row>
    <row r="86" spans="1:5">
      <c r="A86" s="4">
        <v>84</v>
      </c>
      <c r="B86" s="5">
        <v>9.4780000000000003E-2</v>
      </c>
      <c r="C86" s="5">
        <f t="shared" si="3"/>
        <v>2.8433999999999998E-3</v>
      </c>
      <c r="D86" s="5">
        <f t="shared" si="4"/>
        <v>8.2458600000000007E-2</v>
      </c>
      <c r="E86" s="5">
        <f t="shared" si="5"/>
        <v>9.4780000000000003E-3</v>
      </c>
    </row>
    <row r="87" spans="1:5">
      <c r="A87" s="6">
        <v>85</v>
      </c>
      <c r="B87" s="7">
        <v>0.10465000000000001</v>
      </c>
      <c r="C87" s="7">
        <f t="shared" si="3"/>
        <v>3.1394999999999999E-3</v>
      </c>
      <c r="D87" s="7">
        <f t="shared" si="4"/>
        <v>9.1045500000000001E-2</v>
      </c>
      <c r="E87" s="7">
        <f t="shared" si="5"/>
        <v>1.0465000000000002E-2</v>
      </c>
    </row>
    <row r="88" spans="1:5">
      <c r="A88" s="4">
        <v>86</v>
      </c>
      <c r="B88" s="5">
        <v>0.11533</v>
      </c>
      <c r="C88" s="5">
        <f t="shared" si="3"/>
        <v>3.4599000000000001E-3</v>
      </c>
      <c r="D88" s="5">
        <f t="shared" si="4"/>
        <v>0.1003371</v>
      </c>
      <c r="E88" s="5">
        <f t="shared" si="5"/>
        <v>1.1533000000000002E-2</v>
      </c>
    </row>
    <row r="89" spans="1:5">
      <c r="A89" s="6">
        <v>87</v>
      </c>
      <c r="B89" s="7">
        <v>0.12698000000000001</v>
      </c>
      <c r="C89" s="7">
        <f t="shared" si="3"/>
        <v>3.8094000000000001E-3</v>
      </c>
      <c r="D89" s="7">
        <f t="shared" si="4"/>
        <v>0.1104726</v>
      </c>
      <c r="E89" s="7">
        <f t="shared" si="5"/>
        <v>1.2698000000000001E-2</v>
      </c>
    </row>
    <row r="90" spans="1:5">
      <c r="A90" s="4">
        <v>88</v>
      </c>
      <c r="B90" s="5">
        <v>0.13947000000000001</v>
      </c>
      <c r="C90" s="5">
        <f t="shared" si="3"/>
        <v>4.1840999999999996E-3</v>
      </c>
      <c r="D90" s="5">
        <f t="shared" si="4"/>
        <v>0.1213389</v>
      </c>
      <c r="E90" s="5">
        <f t="shared" si="5"/>
        <v>1.3947000000000015E-2</v>
      </c>
    </row>
    <row r="91" spans="1:5">
      <c r="A91" s="6">
        <v>89</v>
      </c>
      <c r="B91" s="7">
        <v>0.15271000000000001</v>
      </c>
      <c r="C91" s="7">
        <f t="shared" si="3"/>
        <v>4.5813E-3</v>
      </c>
      <c r="D91" s="7">
        <f t="shared" si="4"/>
        <v>0.1328577</v>
      </c>
      <c r="E91" s="7">
        <f t="shared" si="5"/>
        <v>1.5271000000000007E-2</v>
      </c>
    </row>
    <row r="92" spans="1:5">
      <c r="A92" s="4">
        <v>90</v>
      </c>
      <c r="B92" s="5">
        <v>0.16658999999999999</v>
      </c>
      <c r="C92" s="5">
        <f t="shared" si="3"/>
        <v>4.9976999999999999E-3</v>
      </c>
      <c r="D92" s="5">
        <f t="shared" si="4"/>
        <v>0.14493329999999999</v>
      </c>
      <c r="E92" s="5">
        <f t="shared" si="5"/>
        <v>1.6659000000000007E-2</v>
      </c>
    </row>
    <row r="93" spans="1:5">
      <c r="A93" s="6">
        <v>91</v>
      </c>
      <c r="B93" s="7">
        <v>0.17990999999999999</v>
      </c>
      <c r="C93" s="7">
        <f t="shared" si="3"/>
        <v>5.3972999999999998E-3</v>
      </c>
      <c r="D93" s="7">
        <f t="shared" si="4"/>
        <v>0.15652170000000001</v>
      </c>
      <c r="E93" s="7">
        <f t="shared" si="5"/>
        <v>1.7990999999999979E-2</v>
      </c>
    </row>
    <row r="94" spans="1:5">
      <c r="A94" s="4">
        <v>92</v>
      </c>
      <c r="B94" s="5">
        <v>0.19389999999999999</v>
      </c>
      <c r="C94" s="5">
        <f t="shared" si="3"/>
        <v>5.8170000000000001E-3</v>
      </c>
      <c r="D94" s="5">
        <f t="shared" si="4"/>
        <v>0.16869300000000001</v>
      </c>
      <c r="E94" s="5">
        <f t="shared" si="5"/>
        <v>1.9389999999999991E-2</v>
      </c>
    </row>
    <row r="95" spans="1:5">
      <c r="A95" s="6">
        <v>93</v>
      </c>
      <c r="B95" s="7">
        <v>0.20874000000000001</v>
      </c>
      <c r="C95" s="7">
        <f t="shared" si="3"/>
        <v>6.2621999999999999E-3</v>
      </c>
      <c r="D95" s="7">
        <f t="shared" si="4"/>
        <v>0.18160380000000001</v>
      </c>
      <c r="E95" s="7">
        <f t="shared" si="5"/>
        <v>2.0874000000000004E-2</v>
      </c>
    </row>
    <row r="96" spans="1:5">
      <c r="A96" s="4">
        <v>94</v>
      </c>
      <c r="B96" s="5">
        <v>0.22450999999999999</v>
      </c>
      <c r="C96" s="5">
        <f t="shared" si="3"/>
        <v>6.7352999999999996E-3</v>
      </c>
      <c r="D96" s="5">
        <f t="shared" si="4"/>
        <v>0.19532369999999999</v>
      </c>
      <c r="E96" s="5">
        <f t="shared" si="5"/>
        <v>2.2450999999999999E-2</v>
      </c>
    </row>
    <row r="97" spans="1:5">
      <c r="A97" s="6">
        <v>95</v>
      </c>
      <c r="B97" s="7">
        <v>0.24126</v>
      </c>
      <c r="C97" s="7">
        <f t="shared" si="3"/>
        <v>7.2378E-3</v>
      </c>
      <c r="D97" s="7">
        <f t="shared" si="4"/>
        <v>0.2098962</v>
      </c>
      <c r="E97" s="7">
        <f t="shared" si="5"/>
        <v>2.4126000000000009E-2</v>
      </c>
    </row>
    <row r="98" spans="1:5">
      <c r="A98" s="4">
        <v>96</v>
      </c>
      <c r="B98" s="5">
        <v>0.25714999999999999</v>
      </c>
      <c r="C98" s="5">
        <f t="shared" si="3"/>
        <v>7.7145E-3</v>
      </c>
      <c r="D98" s="5">
        <f t="shared" si="4"/>
        <v>0.22372049999999999</v>
      </c>
      <c r="E98" s="5">
        <f t="shared" si="5"/>
        <v>2.5714999999999988E-2</v>
      </c>
    </row>
    <row r="99" spans="1:5">
      <c r="A99" s="6">
        <v>97</v>
      </c>
      <c r="B99" s="7">
        <v>0.27418999999999999</v>
      </c>
      <c r="C99" s="7">
        <f t="shared" si="3"/>
        <v>8.2257000000000007E-3</v>
      </c>
      <c r="D99" s="7">
        <f t="shared" si="4"/>
        <v>0.23854529999999999</v>
      </c>
      <c r="E99" s="7">
        <f t="shared" si="5"/>
        <v>2.7418999999999999E-2</v>
      </c>
    </row>
    <row r="100" spans="1:5">
      <c r="A100" s="4">
        <v>98</v>
      </c>
      <c r="B100" s="5">
        <v>0.29249000000000003</v>
      </c>
      <c r="C100" s="5">
        <f t="shared" si="3"/>
        <v>8.7746999999999999E-3</v>
      </c>
      <c r="D100" s="5">
        <f t="shared" si="4"/>
        <v>0.25446629999999998</v>
      </c>
      <c r="E100" s="5">
        <f t="shared" si="5"/>
        <v>2.9249000000000025E-2</v>
      </c>
    </row>
    <row r="101" spans="1:5">
      <c r="A101" s="6">
        <v>99</v>
      </c>
      <c r="B101" s="7">
        <v>0.31214999999999998</v>
      </c>
      <c r="C101" s="7">
        <f t="shared" si="3"/>
        <v>9.3644999999999996E-3</v>
      </c>
      <c r="D101" s="7">
        <f t="shared" si="4"/>
        <v>0.27157049999999999</v>
      </c>
      <c r="E101" s="7">
        <f t="shared" si="5"/>
        <v>3.1214999999999993E-2</v>
      </c>
    </row>
    <row r="102" spans="1:5">
      <c r="A102" s="4">
        <v>100</v>
      </c>
      <c r="B102" s="5">
        <v>0.33331</v>
      </c>
      <c r="C102" s="5">
        <f t="shared" si="3"/>
        <v>9.9992999999999992E-3</v>
      </c>
      <c r="D102" s="5">
        <f t="shared" si="4"/>
        <v>0.28997970000000001</v>
      </c>
      <c r="E102" s="5">
        <f t="shared" si="5"/>
        <v>3.3331E-2</v>
      </c>
    </row>
    <row r="103" spans="1:5">
      <c r="A103" s="6">
        <v>101</v>
      </c>
      <c r="B103" s="7">
        <v>0.35163</v>
      </c>
      <c r="C103" s="7">
        <f t="shared" si="3"/>
        <v>1.05489E-2</v>
      </c>
      <c r="D103" s="7">
        <f t="shared" si="4"/>
        <v>0.30591810000000003</v>
      </c>
      <c r="E103" s="7">
        <f t="shared" si="5"/>
        <v>3.5163E-2</v>
      </c>
    </row>
    <row r="104" spans="1:5">
      <c r="A104" s="4">
        <v>102</v>
      </c>
      <c r="B104" s="5">
        <v>0.37131999999999998</v>
      </c>
      <c r="C104" s="5">
        <f t="shared" si="3"/>
        <v>1.11396E-2</v>
      </c>
      <c r="D104" s="5">
        <f t="shared" si="4"/>
        <v>0.32304840000000001</v>
      </c>
      <c r="E104" s="5">
        <f t="shared" si="5"/>
        <v>3.7131999999999943E-2</v>
      </c>
    </row>
    <row r="105" spans="1:5">
      <c r="A105" s="6">
        <v>103</v>
      </c>
      <c r="B105" s="7">
        <v>0.39250000000000002</v>
      </c>
      <c r="C105" s="7">
        <f t="shared" si="3"/>
        <v>1.1775000000000001E-2</v>
      </c>
      <c r="D105" s="7">
        <f t="shared" si="4"/>
        <v>0.34147499999999997</v>
      </c>
      <c r="E105" s="7">
        <f t="shared" si="5"/>
        <v>3.9250000000000063E-2</v>
      </c>
    </row>
    <row r="106" spans="1:5">
      <c r="A106" s="4">
        <v>104</v>
      </c>
      <c r="B106" s="5">
        <v>0.41526999999999997</v>
      </c>
      <c r="C106" s="5">
        <f t="shared" si="3"/>
        <v>1.24581E-2</v>
      </c>
      <c r="D106" s="5">
        <f t="shared" si="4"/>
        <v>0.36128490000000002</v>
      </c>
      <c r="E106" s="5">
        <f t="shared" si="5"/>
        <v>4.1526999999999981E-2</v>
      </c>
    </row>
    <row r="107" spans="1:5">
      <c r="A107" s="6">
        <v>105</v>
      </c>
      <c r="B107" s="7">
        <v>0.43973000000000001</v>
      </c>
      <c r="C107" s="7">
        <f t="shared" si="3"/>
        <v>1.3191899999999999E-2</v>
      </c>
      <c r="D107" s="7">
        <f t="shared" si="4"/>
        <v>0.38256509999999999</v>
      </c>
      <c r="E107" s="7">
        <f t="shared" si="5"/>
        <v>4.397300000000004E-2</v>
      </c>
    </row>
    <row r="108" spans="1:5">
      <c r="A108" s="4">
        <v>106</v>
      </c>
      <c r="B108" s="5">
        <v>0.46601999999999999</v>
      </c>
      <c r="C108" s="5">
        <f t="shared" si="3"/>
        <v>1.3980599999999999E-2</v>
      </c>
      <c r="D108" s="5">
        <f t="shared" si="4"/>
        <v>0.4054374</v>
      </c>
      <c r="E108" s="5">
        <f t="shared" si="5"/>
        <v>4.6601999999999977E-2</v>
      </c>
    </row>
    <row r="109" spans="1:5">
      <c r="A109" s="6">
        <v>107</v>
      </c>
      <c r="B109" s="7">
        <v>0.49429000000000001</v>
      </c>
      <c r="C109" s="7">
        <f t="shared" si="3"/>
        <v>1.48287E-2</v>
      </c>
      <c r="D109" s="7">
        <f t="shared" si="4"/>
        <v>0.43003229999999998</v>
      </c>
      <c r="E109" s="7">
        <f t="shared" si="5"/>
        <v>4.9429000000000001E-2</v>
      </c>
    </row>
    <row r="110" spans="1:5">
      <c r="A110" s="4">
        <v>108</v>
      </c>
      <c r="B110" s="5">
        <v>0.52466999999999997</v>
      </c>
      <c r="C110" s="5">
        <f t="shared" si="3"/>
        <v>1.57401E-2</v>
      </c>
      <c r="D110" s="5">
        <f t="shared" si="4"/>
        <v>0.4564629</v>
      </c>
      <c r="E110" s="5">
        <f t="shared" si="5"/>
        <v>5.246699999999993E-2</v>
      </c>
    </row>
    <row r="111" spans="1:5">
      <c r="A111" s="6">
        <v>109</v>
      </c>
      <c r="B111" s="7">
        <v>0.55732999999999999</v>
      </c>
      <c r="C111" s="7">
        <f t="shared" si="3"/>
        <v>1.6719899999999999E-2</v>
      </c>
      <c r="D111" s="7">
        <f t="shared" si="4"/>
        <v>0.48487710000000001</v>
      </c>
      <c r="E111" s="7">
        <f t="shared" si="5"/>
        <v>5.5732999999999977E-2</v>
      </c>
    </row>
    <row r="112" spans="1:5">
      <c r="A112" s="4">
        <v>110</v>
      </c>
      <c r="B112" s="5">
        <v>0.59243999999999997</v>
      </c>
      <c r="C112" s="5">
        <f t="shared" si="3"/>
        <v>1.7773199999999999E-2</v>
      </c>
      <c r="D112" s="5">
        <f t="shared" si="4"/>
        <v>0.51542279999999996</v>
      </c>
      <c r="E112" s="5">
        <f t="shared" si="5"/>
        <v>5.9243999999999963E-2</v>
      </c>
    </row>
    <row r="113" spans="1:5">
      <c r="A113" s="6">
        <v>111</v>
      </c>
      <c r="B113" s="7">
        <v>1</v>
      </c>
      <c r="C113" s="7">
        <f t="shared" si="3"/>
        <v>0.03</v>
      </c>
      <c r="D113" s="7">
        <f t="shared" si="4"/>
        <v>0.87</v>
      </c>
      <c r="E113" s="7">
        <f t="shared" si="5"/>
        <v>9.9999999999999978E-2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69A70-1EB9-481A-8A08-FE3FEE5792CC}">
  <dimension ref="A1:E113"/>
  <sheetViews>
    <sheetView tabSelected="1" workbookViewId="0">
      <selection activeCell="E8" sqref="E8"/>
    </sheetView>
  </sheetViews>
  <sheetFormatPr defaultRowHeight="14.25"/>
  <cols>
    <col min="1" max="1" width="7.125" customWidth="1"/>
    <col min="2" max="2" width="16.125" customWidth="1"/>
    <col min="3" max="3" width="13.75" customWidth="1"/>
    <col min="4" max="4" width="14.125" customWidth="1"/>
    <col min="5" max="5" width="15.375" customWidth="1"/>
  </cols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 s="4">
        <v>0</v>
      </c>
      <c r="B2" s="5">
        <v>2.66E-3</v>
      </c>
      <c r="C2" s="5">
        <f t="shared" ref="C2:C65" si="0">ROUND(B2*(IF(A2&lt;15,0.08,IF(A2&lt;30,0.3,IF(A2&lt;45,0.22,IF(A2&lt;65,0.12,IF(A2&lt;80,0.06,0.03)))))),10)</f>
        <v>2.128E-4</v>
      </c>
      <c r="D2" s="5">
        <f t="shared" ref="D2:D65" si="1">ROUND(B2*(IF(A2&lt;15,0.35,IF(A2&lt;30,0.3,IF(A2&lt;45,0.45,IF(A2&lt;65,0.65,IF(A2&lt;80,0.78,0.87)))))),10)</f>
        <v>9.3099999999999997E-4</v>
      </c>
      <c r="E2" s="5">
        <f t="shared" ref="E2:E65" si="2">B2-C2-D2</f>
        <v>1.5162000000000001E-3</v>
      </c>
    </row>
    <row r="3" spans="1:5">
      <c r="A3" s="6">
        <v>1</v>
      </c>
      <c r="B3" s="7">
        <v>4.0999999999999999E-4</v>
      </c>
      <c r="C3" s="7">
        <f t="shared" si="0"/>
        <v>3.2799999999999998E-5</v>
      </c>
      <c r="D3" s="7">
        <f t="shared" si="1"/>
        <v>1.4349999999999999E-4</v>
      </c>
      <c r="E3" s="7">
        <f t="shared" si="2"/>
        <v>2.3370000000000002E-4</v>
      </c>
    </row>
    <row r="4" spans="1:5">
      <c r="A4" s="4">
        <v>2</v>
      </c>
      <c r="B4" s="5">
        <v>3.1E-4</v>
      </c>
      <c r="C4" s="5">
        <f t="shared" si="0"/>
        <v>2.48E-5</v>
      </c>
      <c r="D4" s="5">
        <f t="shared" si="1"/>
        <v>1.0849999999999999E-4</v>
      </c>
      <c r="E4" s="5">
        <f t="shared" si="2"/>
        <v>1.7670000000000001E-4</v>
      </c>
    </row>
    <row r="5" spans="1:5">
      <c r="A5" s="6">
        <v>3</v>
      </c>
      <c r="B5" s="7">
        <v>2.4000000000000001E-4</v>
      </c>
      <c r="C5" s="7">
        <f t="shared" si="0"/>
        <v>1.9199999999999999E-5</v>
      </c>
      <c r="D5" s="7">
        <f t="shared" si="1"/>
        <v>8.3999999999999995E-5</v>
      </c>
      <c r="E5" s="7">
        <f t="shared" si="2"/>
        <v>1.3680000000000002E-4</v>
      </c>
    </row>
    <row r="6" spans="1:5">
      <c r="A6" s="4">
        <v>4</v>
      </c>
      <c r="B6" s="5">
        <v>2.1000000000000001E-4</v>
      </c>
      <c r="C6" s="5">
        <f t="shared" si="0"/>
        <v>1.6799999999999998E-5</v>
      </c>
      <c r="D6" s="5">
        <f t="shared" si="1"/>
        <v>7.3499999999999998E-5</v>
      </c>
      <c r="E6" s="5">
        <f t="shared" si="2"/>
        <v>1.1970000000000001E-4</v>
      </c>
    </row>
    <row r="7" spans="1:5">
      <c r="A7" s="6">
        <v>5</v>
      </c>
      <c r="B7" s="7">
        <v>2.0000000000000001E-4</v>
      </c>
      <c r="C7" s="7">
        <f t="shared" si="0"/>
        <v>1.5999999999999999E-5</v>
      </c>
      <c r="D7" s="7">
        <f t="shared" si="1"/>
        <v>6.9999999999999994E-5</v>
      </c>
      <c r="E7" s="7">
        <f t="shared" si="2"/>
        <v>1.1400000000000001E-4</v>
      </c>
    </row>
    <row r="8" spans="1:5">
      <c r="A8" s="4">
        <v>6</v>
      </c>
      <c r="B8" s="5">
        <v>2.2000000000000001E-4</v>
      </c>
      <c r="C8" s="5">
        <f t="shared" si="0"/>
        <v>1.7600000000000001E-5</v>
      </c>
      <c r="D8" s="5">
        <f t="shared" si="1"/>
        <v>7.7000000000000001E-5</v>
      </c>
      <c r="E8" s="5">
        <f t="shared" si="2"/>
        <v>1.2540000000000001E-4</v>
      </c>
    </row>
    <row r="9" spans="1:5">
      <c r="A9" s="6">
        <v>7</v>
      </c>
      <c r="B9" s="7">
        <v>2.3000000000000001E-4</v>
      </c>
      <c r="C9" s="7">
        <f t="shared" si="0"/>
        <v>1.84E-5</v>
      </c>
      <c r="D9" s="7">
        <f t="shared" si="1"/>
        <v>8.0500000000000005E-5</v>
      </c>
      <c r="E9" s="7">
        <f t="shared" si="2"/>
        <v>1.3109999999999999E-4</v>
      </c>
    </row>
    <row r="10" spans="1:5">
      <c r="A10" s="4">
        <v>8</v>
      </c>
      <c r="B10" s="5">
        <v>2.2000000000000001E-4</v>
      </c>
      <c r="C10" s="5">
        <f t="shared" si="0"/>
        <v>1.7600000000000001E-5</v>
      </c>
      <c r="D10" s="5">
        <f t="shared" si="1"/>
        <v>7.7000000000000001E-5</v>
      </c>
      <c r="E10" s="5">
        <f t="shared" si="2"/>
        <v>1.2540000000000001E-4</v>
      </c>
    </row>
    <row r="11" spans="1:5">
      <c r="A11" s="6">
        <v>9</v>
      </c>
      <c r="B11" s="7">
        <v>2.1000000000000001E-4</v>
      </c>
      <c r="C11" s="7">
        <f t="shared" si="0"/>
        <v>1.6799999999999998E-5</v>
      </c>
      <c r="D11" s="7">
        <f t="shared" si="1"/>
        <v>7.3499999999999998E-5</v>
      </c>
      <c r="E11" s="7">
        <f t="shared" si="2"/>
        <v>1.1970000000000001E-4</v>
      </c>
    </row>
    <row r="12" spans="1:5">
      <c r="A12" s="4">
        <v>10</v>
      </c>
      <c r="B12" s="5">
        <v>1.9000000000000001E-4</v>
      </c>
      <c r="C12" s="5">
        <f t="shared" si="0"/>
        <v>1.52E-5</v>
      </c>
      <c r="D12" s="5">
        <f t="shared" si="1"/>
        <v>6.6500000000000004E-5</v>
      </c>
      <c r="E12" s="5">
        <f t="shared" si="2"/>
        <v>1.0830000000000002E-4</v>
      </c>
    </row>
    <row r="13" spans="1:5">
      <c r="A13" s="6">
        <v>11</v>
      </c>
      <c r="B13" s="7">
        <v>1.8000000000000001E-4</v>
      </c>
      <c r="C13" s="7">
        <f t="shared" si="0"/>
        <v>1.4399999999999999E-5</v>
      </c>
      <c r="D13" s="7">
        <f t="shared" si="1"/>
        <v>6.3E-5</v>
      </c>
      <c r="E13" s="7">
        <f t="shared" si="2"/>
        <v>1.0260000000000001E-4</v>
      </c>
    </row>
    <row r="14" spans="1:5">
      <c r="A14" s="4">
        <v>12</v>
      </c>
      <c r="B14" s="5">
        <v>2.0000000000000001E-4</v>
      </c>
      <c r="C14" s="5">
        <f t="shared" si="0"/>
        <v>1.5999999999999999E-5</v>
      </c>
      <c r="D14" s="5">
        <f t="shared" si="1"/>
        <v>6.9999999999999994E-5</v>
      </c>
      <c r="E14" s="5">
        <f t="shared" si="2"/>
        <v>1.1400000000000001E-4</v>
      </c>
    </row>
    <row r="15" spans="1:5">
      <c r="A15" s="6">
        <v>13</v>
      </c>
      <c r="B15" s="7">
        <v>2.2000000000000001E-4</v>
      </c>
      <c r="C15" s="7">
        <f t="shared" si="0"/>
        <v>1.7600000000000001E-5</v>
      </c>
      <c r="D15" s="7">
        <f t="shared" si="1"/>
        <v>7.7000000000000001E-5</v>
      </c>
      <c r="E15" s="7">
        <f t="shared" si="2"/>
        <v>1.2540000000000001E-4</v>
      </c>
    </row>
    <row r="16" spans="1:5">
      <c r="A16" s="4">
        <v>14</v>
      </c>
      <c r="B16" s="5">
        <v>2.3000000000000001E-4</v>
      </c>
      <c r="C16" s="5">
        <f t="shared" si="0"/>
        <v>1.84E-5</v>
      </c>
      <c r="D16" s="5">
        <f t="shared" si="1"/>
        <v>8.0500000000000005E-5</v>
      </c>
      <c r="E16" s="5">
        <f t="shared" si="2"/>
        <v>1.3109999999999999E-4</v>
      </c>
    </row>
    <row r="17" spans="1:5">
      <c r="A17" s="6">
        <v>15</v>
      </c>
      <c r="B17" s="7">
        <v>2.3000000000000001E-4</v>
      </c>
      <c r="C17" s="7">
        <f t="shared" si="0"/>
        <v>6.8999999999999997E-5</v>
      </c>
      <c r="D17" s="7">
        <f t="shared" si="1"/>
        <v>6.8999999999999997E-5</v>
      </c>
      <c r="E17" s="7">
        <f t="shared" si="2"/>
        <v>9.2000000000000014E-5</v>
      </c>
    </row>
    <row r="18" spans="1:5">
      <c r="A18" s="4">
        <v>16</v>
      </c>
      <c r="B18" s="5">
        <v>2.4000000000000001E-4</v>
      </c>
      <c r="C18" s="5">
        <f t="shared" si="0"/>
        <v>7.2000000000000002E-5</v>
      </c>
      <c r="D18" s="5">
        <f t="shared" si="1"/>
        <v>7.2000000000000002E-5</v>
      </c>
      <c r="E18" s="5">
        <f t="shared" si="2"/>
        <v>9.6000000000000016E-5</v>
      </c>
    </row>
    <row r="19" spans="1:5">
      <c r="A19" s="6">
        <v>17</v>
      </c>
      <c r="B19" s="7">
        <v>2.4000000000000001E-4</v>
      </c>
      <c r="C19" s="7">
        <f t="shared" si="0"/>
        <v>7.2000000000000002E-5</v>
      </c>
      <c r="D19" s="7">
        <f t="shared" si="1"/>
        <v>7.2000000000000002E-5</v>
      </c>
      <c r="E19" s="7">
        <f t="shared" si="2"/>
        <v>9.6000000000000016E-5</v>
      </c>
    </row>
    <row r="20" spans="1:5">
      <c r="A20" s="4">
        <v>18</v>
      </c>
      <c r="B20" s="5">
        <v>2.5000000000000001E-4</v>
      </c>
      <c r="C20" s="5">
        <f t="shared" si="0"/>
        <v>7.4999999999999993E-5</v>
      </c>
      <c r="D20" s="5">
        <f t="shared" si="1"/>
        <v>7.4999999999999993E-5</v>
      </c>
      <c r="E20" s="5">
        <f t="shared" si="2"/>
        <v>1.0000000000000003E-4</v>
      </c>
    </row>
    <row r="21" spans="1:5">
      <c r="A21" s="6">
        <v>19</v>
      </c>
      <c r="B21" s="7">
        <v>2.5999999999999998E-4</v>
      </c>
      <c r="C21" s="7">
        <f t="shared" si="0"/>
        <v>7.7999999999999999E-5</v>
      </c>
      <c r="D21" s="7">
        <f t="shared" si="1"/>
        <v>7.7999999999999999E-5</v>
      </c>
      <c r="E21" s="7">
        <f t="shared" si="2"/>
        <v>1.0399999999999998E-4</v>
      </c>
    </row>
    <row r="22" spans="1:5">
      <c r="A22" s="4">
        <v>20</v>
      </c>
      <c r="B22" s="5">
        <v>2.7E-4</v>
      </c>
      <c r="C22" s="5">
        <f t="shared" si="0"/>
        <v>8.1000000000000004E-5</v>
      </c>
      <c r="D22" s="5">
        <f t="shared" si="1"/>
        <v>8.1000000000000004E-5</v>
      </c>
      <c r="E22" s="5">
        <f t="shared" si="2"/>
        <v>1.0799999999999998E-4</v>
      </c>
    </row>
    <row r="23" spans="1:5">
      <c r="A23" s="6">
        <v>21</v>
      </c>
      <c r="B23" s="7">
        <v>2.7999999999999998E-4</v>
      </c>
      <c r="C23" s="7">
        <f t="shared" si="0"/>
        <v>8.3999999999999995E-5</v>
      </c>
      <c r="D23" s="7">
        <f t="shared" si="1"/>
        <v>8.3999999999999995E-5</v>
      </c>
      <c r="E23" s="7">
        <f t="shared" si="2"/>
        <v>1.12E-4</v>
      </c>
    </row>
    <row r="24" spans="1:5">
      <c r="A24" s="4">
        <v>22</v>
      </c>
      <c r="B24" s="5">
        <v>2.9999999999999997E-4</v>
      </c>
      <c r="C24" s="5">
        <f t="shared" si="0"/>
        <v>9.0000000000000006E-5</v>
      </c>
      <c r="D24" s="5">
        <f t="shared" si="1"/>
        <v>9.0000000000000006E-5</v>
      </c>
      <c r="E24" s="5">
        <f t="shared" si="2"/>
        <v>1.1999999999999995E-4</v>
      </c>
    </row>
    <row r="25" spans="1:5">
      <c r="A25" s="6">
        <v>23</v>
      </c>
      <c r="B25" s="7">
        <v>3.2000000000000003E-4</v>
      </c>
      <c r="C25" s="7">
        <f t="shared" si="0"/>
        <v>9.6000000000000002E-5</v>
      </c>
      <c r="D25" s="7">
        <f t="shared" si="1"/>
        <v>9.6000000000000002E-5</v>
      </c>
      <c r="E25" s="7">
        <f t="shared" si="2"/>
        <v>1.2800000000000002E-4</v>
      </c>
    </row>
    <row r="26" spans="1:5">
      <c r="A26" s="4">
        <v>24</v>
      </c>
      <c r="B26" s="5">
        <v>3.4000000000000002E-4</v>
      </c>
      <c r="C26" s="5">
        <f t="shared" si="0"/>
        <v>1.02E-4</v>
      </c>
      <c r="D26" s="5">
        <f t="shared" si="1"/>
        <v>1.02E-4</v>
      </c>
      <c r="E26" s="5">
        <f t="shared" si="2"/>
        <v>1.3600000000000005E-4</v>
      </c>
    </row>
    <row r="27" spans="1:5">
      <c r="A27" s="6">
        <v>25</v>
      </c>
      <c r="B27" s="7">
        <v>3.8000000000000002E-4</v>
      </c>
      <c r="C27" s="7">
        <f t="shared" si="0"/>
        <v>1.1400000000000001E-4</v>
      </c>
      <c r="D27" s="7">
        <f t="shared" si="1"/>
        <v>1.1400000000000001E-4</v>
      </c>
      <c r="E27" s="7">
        <f t="shared" si="2"/>
        <v>1.5200000000000001E-4</v>
      </c>
    </row>
    <row r="28" spans="1:5">
      <c r="A28" s="4">
        <v>26</v>
      </c>
      <c r="B28" s="5">
        <v>4.2000000000000002E-4</v>
      </c>
      <c r="C28" s="5">
        <f t="shared" si="0"/>
        <v>1.26E-4</v>
      </c>
      <c r="D28" s="5">
        <f t="shared" si="1"/>
        <v>1.26E-4</v>
      </c>
      <c r="E28" s="5">
        <f t="shared" si="2"/>
        <v>1.6799999999999999E-4</v>
      </c>
    </row>
    <row r="29" spans="1:5">
      <c r="A29" s="6">
        <v>27</v>
      </c>
      <c r="B29" s="7">
        <v>4.6000000000000001E-4</v>
      </c>
      <c r="C29" s="7">
        <f t="shared" si="0"/>
        <v>1.3799999999999999E-4</v>
      </c>
      <c r="D29" s="7">
        <f t="shared" si="1"/>
        <v>1.3799999999999999E-4</v>
      </c>
      <c r="E29" s="7">
        <f t="shared" si="2"/>
        <v>1.8400000000000003E-4</v>
      </c>
    </row>
    <row r="30" spans="1:5">
      <c r="A30" s="4">
        <v>28</v>
      </c>
      <c r="B30" s="5">
        <v>4.8999999999999998E-4</v>
      </c>
      <c r="C30" s="5">
        <f t="shared" si="0"/>
        <v>1.47E-4</v>
      </c>
      <c r="D30" s="5">
        <f t="shared" si="1"/>
        <v>1.47E-4</v>
      </c>
      <c r="E30" s="5">
        <f t="shared" si="2"/>
        <v>1.9599999999999999E-4</v>
      </c>
    </row>
    <row r="31" spans="1:5">
      <c r="A31" s="6">
        <v>29</v>
      </c>
      <c r="B31" s="7">
        <v>5.1999999999999995E-4</v>
      </c>
      <c r="C31" s="7">
        <f t="shared" si="0"/>
        <v>1.56E-4</v>
      </c>
      <c r="D31" s="7">
        <f t="shared" si="1"/>
        <v>1.56E-4</v>
      </c>
      <c r="E31" s="7">
        <f t="shared" si="2"/>
        <v>2.0799999999999996E-4</v>
      </c>
    </row>
    <row r="32" spans="1:5">
      <c r="A32" s="4">
        <v>30</v>
      </c>
      <c r="B32" s="5">
        <v>5.5999999999999995E-4</v>
      </c>
      <c r="C32" s="5">
        <f t="shared" si="0"/>
        <v>1.2320000000000001E-4</v>
      </c>
      <c r="D32" s="5">
        <f t="shared" si="1"/>
        <v>2.52E-4</v>
      </c>
      <c r="E32" s="5">
        <f t="shared" si="2"/>
        <v>1.8479999999999994E-4</v>
      </c>
    </row>
    <row r="33" spans="1:5">
      <c r="A33" s="6">
        <v>31</v>
      </c>
      <c r="B33" s="7">
        <v>5.9999999999999995E-4</v>
      </c>
      <c r="C33" s="7">
        <f t="shared" si="0"/>
        <v>1.3200000000000001E-4</v>
      </c>
      <c r="D33" s="7">
        <f t="shared" si="1"/>
        <v>2.7E-4</v>
      </c>
      <c r="E33" s="7">
        <f t="shared" si="2"/>
        <v>1.9799999999999993E-4</v>
      </c>
    </row>
    <row r="34" spans="1:5">
      <c r="A34" s="4">
        <v>32</v>
      </c>
      <c r="B34" s="5">
        <v>6.4000000000000005E-4</v>
      </c>
      <c r="C34" s="5">
        <f t="shared" si="0"/>
        <v>1.4080000000000001E-4</v>
      </c>
      <c r="D34" s="5">
        <f t="shared" si="1"/>
        <v>2.8800000000000001E-4</v>
      </c>
      <c r="E34" s="5">
        <f t="shared" si="2"/>
        <v>2.1119999999999998E-4</v>
      </c>
    </row>
    <row r="35" spans="1:5">
      <c r="A35" s="6">
        <v>33</v>
      </c>
      <c r="B35" s="7">
        <v>6.8999999999999997E-4</v>
      </c>
      <c r="C35" s="7">
        <f t="shared" si="0"/>
        <v>1.518E-4</v>
      </c>
      <c r="D35" s="7">
        <f t="shared" si="1"/>
        <v>3.1050000000000001E-4</v>
      </c>
      <c r="E35" s="7">
        <f t="shared" si="2"/>
        <v>2.2769999999999995E-4</v>
      </c>
    </row>
    <row r="36" spans="1:5">
      <c r="A36" s="4">
        <v>34</v>
      </c>
      <c r="B36" s="5">
        <v>7.3999999999999999E-4</v>
      </c>
      <c r="C36" s="5">
        <f t="shared" si="0"/>
        <v>1.628E-4</v>
      </c>
      <c r="D36" s="5">
        <f t="shared" si="1"/>
        <v>3.3300000000000002E-4</v>
      </c>
      <c r="E36" s="5">
        <f t="shared" si="2"/>
        <v>2.4419999999999992E-4</v>
      </c>
    </row>
    <row r="37" spans="1:5">
      <c r="A37" s="6">
        <v>35</v>
      </c>
      <c r="B37" s="7">
        <v>8.0000000000000004E-4</v>
      </c>
      <c r="C37" s="7">
        <f t="shared" si="0"/>
        <v>1.76E-4</v>
      </c>
      <c r="D37" s="7">
        <f t="shared" si="1"/>
        <v>3.6000000000000002E-4</v>
      </c>
      <c r="E37" s="7">
        <f t="shared" si="2"/>
        <v>2.6399999999999997E-4</v>
      </c>
    </row>
    <row r="38" spans="1:5">
      <c r="A38" s="4">
        <v>36</v>
      </c>
      <c r="B38" s="5">
        <v>8.5999999999999998E-4</v>
      </c>
      <c r="C38" s="5">
        <f t="shared" si="0"/>
        <v>1.8919999999999999E-4</v>
      </c>
      <c r="D38" s="5">
        <f t="shared" si="1"/>
        <v>3.8699999999999997E-4</v>
      </c>
      <c r="E38" s="5">
        <f t="shared" si="2"/>
        <v>2.8380000000000007E-4</v>
      </c>
    </row>
    <row r="39" spans="1:5">
      <c r="A39" s="6">
        <v>37</v>
      </c>
      <c r="B39" s="7">
        <v>9.3000000000000005E-4</v>
      </c>
      <c r="C39" s="7">
        <f t="shared" si="0"/>
        <v>2.0460000000000001E-4</v>
      </c>
      <c r="D39" s="7">
        <f t="shared" si="1"/>
        <v>4.1849999999999998E-4</v>
      </c>
      <c r="E39" s="7">
        <f t="shared" si="2"/>
        <v>3.0690000000000009E-4</v>
      </c>
    </row>
    <row r="40" spans="1:5">
      <c r="A40" s="4">
        <v>38</v>
      </c>
      <c r="B40" s="5">
        <v>1E-3</v>
      </c>
      <c r="C40" s="5">
        <f t="shared" si="0"/>
        <v>2.2000000000000001E-4</v>
      </c>
      <c r="D40" s="5">
        <f t="shared" si="1"/>
        <v>4.4999999999999999E-4</v>
      </c>
      <c r="E40" s="5">
        <f t="shared" si="2"/>
        <v>3.3E-4</v>
      </c>
    </row>
    <row r="41" spans="1:5">
      <c r="A41" s="6">
        <v>39</v>
      </c>
      <c r="B41" s="7">
        <v>1.08E-3</v>
      </c>
      <c r="C41" s="7">
        <f t="shared" si="0"/>
        <v>2.376E-4</v>
      </c>
      <c r="D41" s="7">
        <f t="shared" si="1"/>
        <v>4.86E-4</v>
      </c>
      <c r="E41" s="7">
        <f t="shared" si="2"/>
        <v>3.5639999999999999E-4</v>
      </c>
    </row>
    <row r="42" spans="1:5">
      <c r="A42" s="4">
        <v>40</v>
      </c>
      <c r="B42" s="5">
        <v>1.1800000000000001E-3</v>
      </c>
      <c r="C42" s="5">
        <f t="shared" si="0"/>
        <v>2.5960000000000002E-4</v>
      </c>
      <c r="D42" s="5">
        <f t="shared" si="1"/>
        <v>5.31E-4</v>
      </c>
      <c r="E42" s="5">
        <f t="shared" si="2"/>
        <v>3.8940000000000003E-4</v>
      </c>
    </row>
    <row r="43" spans="1:5">
      <c r="A43" s="6">
        <v>41</v>
      </c>
      <c r="B43" s="7">
        <v>1.2800000000000001E-3</v>
      </c>
      <c r="C43" s="7">
        <f t="shared" si="0"/>
        <v>2.8160000000000001E-4</v>
      </c>
      <c r="D43" s="7">
        <f t="shared" si="1"/>
        <v>5.7600000000000001E-4</v>
      </c>
      <c r="E43" s="7">
        <f t="shared" si="2"/>
        <v>4.2239999999999997E-4</v>
      </c>
    </row>
    <row r="44" spans="1:5">
      <c r="A44" s="4">
        <v>42</v>
      </c>
      <c r="B44" s="5">
        <v>1.41E-3</v>
      </c>
      <c r="C44" s="5">
        <f t="shared" si="0"/>
        <v>3.102E-4</v>
      </c>
      <c r="D44" s="5">
        <f t="shared" si="1"/>
        <v>6.3449999999999997E-4</v>
      </c>
      <c r="E44" s="5">
        <f t="shared" si="2"/>
        <v>4.6529999999999998E-4</v>
      </c>
    </row>
    <row r="45" spans="1:5">
      <c r="A45" s="6">
        <v>43</v>
      </c>
      <c r="B45" s="7">
        <v>1.5399999999999999E-3</v>
      </c>
      <c r="C45" s="7">
        <f t="shared" si="0"/>
        <v>3.388E-4</v>
      </c>
      <c r="D45" s="7">
        <f t="shared" si="1"/>
        <v>6.9300000000000004E-4</v>
      </c>
      <c r="E45" s="7">
        <f t="shared" si="2"/>
        <v>5.0819999999999988E-4</v>
      </c>
    </row>
    <row r="46" spans="1:5">
      <c r="A46" s="4">
        <v>44</v>
      </c>
      <c r="B46" s="5">
        <v>1.6900000000000001E-3</v>
      </c>
      <c r="C46" s="5">
        <f t="shared" si="0"/>
        <v>3.7179999999999998E-4</v>
      </c>
      <c r="D46" s="5">
        <f t="shared" si="1"/>
        <v>7.605E-4</v>
      </c>
      <c r="E46" s="5">
        <f t="shared" si="2"/>
        <v>5.5770000000000006E-4</v>
      </c>
    </row>
    <row r="47" spans="1:5">
      <c r="A47" s="6">
        <v>45</v>
      </c>
      <c r="B47" s="7">
        <v>1.8699999999999999E-3</v>
      </c>
      <c r="C47" s="7">
        <f t="shared" si="0"/>
        <v>2.2440000000000001E-4</v>
      </c>
      <c r="D47" s="7">
        <f t="shared" si="1"/>
        <v>1.2155E-3</v>
      </c>
      <c r="E47" s="7">
        <f t="shared" si="2"/>
        <v>4.3009999999999988E-4</v>
      </c>
    </row>
    <row r="48" spans="1:5">
      <c r="A48" s="4">
        <v>46</v>
      </c>
      <c r="B48" s="5">
        <v>2.0899999999999998E-3</v>
      </c>
      <c r="C48" s="5">
        <f t="shared" si="0"/>
        <v>2.5080000000000002E-4</v>
      </c>
      <c r="D48" s="5">
        <f t="shared" si="1"/>
        <v>1.3584999999999999E-3</v>
      </c>
      <c r="E48" s="5">
        <f t="shared" si="2"/>
        <v>4.8069999999999992E-4</v>
      </c>
    </row>
    <row r="49" spans="1:5">
      <c r="A49" s="6">
        <v>47</v>
      </c>
      <c r="B49" s="7">
        <v>2.3E-3</v>
      </c>
      <c r="C49" s="7">
        <f t="shared" si="0"/>
        <v>2.7599999999999999E-4</v>
      </c>
      <c r="D49" s="7">
        <f t="shared" si="1"/>
        <v>1.495E-3</v>
      </c>
      <c r="E49" s="7">
        <f t="shared" si="2"/>
        <v>5.2899999999999974E-4</v>
      </c>
    </row>
    <row r="50" spans="1:5">
      <c r="A50" s="4">
        <v>48</v>
      </c>
      <c r="B50" s="5">
        <v>2.5300000000000001E-3</v>
      </c>
      <c r="C50" s="5">
        <f t="shared" si="0"/>
        <v>3.0360000000000001E-4</v>
      </c>
      <c r="D50" s="5">
        <f t="shared" si="1"/>
        <v>1.6444999999999999E-3</v>
      </c>
      <c r="E50" s="5">
        <f t="shared" si="2"/>
        <v>5.819E-4</v>
      </c>
    </row>
    <row r="51" spans="1:5">
      <c r="A51" s="6">
        <v>49</v>
      </c>
      <c r="B51" s="7">
        <v>2.7699999999999999E-3</v>
      </c>
      <c r="C51" s="7">
        <f t="shared" si="0"/>
        <v>3.324E-4</v>
      </c>
      <c r="D51" s="7">
        <f t="shared" si="1"/>
        <v>1.8005E-3</v>
      </c>
      <c r="E51" s="7">
        <f t="shared" si="2"/>
        <v>6.3709999999999982E-4</v>
      </c>
    </row>
    <row r="52" spans="1:5">
      <c r="A52" s="4">
        <v>50</v>
      </c>
      <c r="B52" s="5">
        <v>3.0500000000000002E-3</v>
      </c>
      <c r="C52" s="5">
        <f t="shared" si="0"/>
        <v>3.6600000000000001E-4</v>
      </c>
      <c r="D52" s="5">
        <f t="shared" si="1"/>
        <v>1.9824999999999999E-3</v>
      </c>
      <c r="E52" s="5">
        <f t="shared" si="2"/>
        <v>7.015000000000003E-4</v>
      </c>
    </row>
    <row r="53" spans="1:5">
      <c r="A53" s="6">
        <v>51</v>
      </c>
      <c r="B53" s="7">
        <v>3.3500000000000001E-3</v>
      </c>
      <c r="C53" s="7">
        <f t="shared" si="0"/>
        <v>4.0200000000000001E-4</v>
      </c>
      <c r="D53" s="7">
        <f t="shared" si="1"/>
        <v>2.1775000000000002E-3</v>
      </c>
      <c r="E53" s="7">
        <f t="shared" si="2"/>
        <v>7.7049999999999992E-4</v>
      </c>
    </row>
    <row r="54" spans="1:5">
      <c r="A54" s="4">
        <v>52</v>
      </c>
      <c r="B54" s="5">
        <v>3.6800000000000001E-3</v>
      </c>
      <c r="C54" s="5">
        <f t="shared" si="0"/>
        <v>4.416E-4</v>
      </c>
      <c r="D54" s="5">
        <f t="shared" si="1"/>
        <v>2.392E-3</v>
      </c>
      <c r="E54" s="5">
        <f t="shared" si="2"/>
        <v>8.4640000000000019E-4</v>
      </c>
    </row>
    <row r="55" spans="1:5">
      <c r="A55" s="6">
        <v>53</v>
      </c>
      <c r="B55" s="7">
        <v>4.0299999999999997E-3</v>
      </c>
      <c r="C55" s="7">
        <f t="shared" si="0"/>
        <v>4.8359999999999999E-4</v>
      </c>
      <c r="D55" s="7">
        <f t="shared" si="1"/>
        <v>2.6194999999999999E-3</v>
      </c>
      <c r="E55" s="7">
        <f t="shared" si="2"/>
        <v>9.2690000000000003E-4</v>
      </c>
    </row>
    <row r="56" spans="1:5">
      <c r="A56" s="4">
        <v>54</v>
      </c>
      <c r="B56" s="5">
        <v>4.4200000000000003E-3</v>
      </c>
      <c r="C56" s="5">
        <f t="shared" si="0"/>
        <v>5.3039999999999999E-4</v>
      </c>
      <c r="D56" s="5">
        <f t="shared" si="1"/>
        <v>2.8730000000000001E-3</v>
      </c>
      <c r="E56" s="5">
        <f t="shared" si="2"/>
        <v>1.0166000000000003E-3</v>
      </c>
    </row>
    <row r="57" spans="1:5">
      <c r="A57" s="6">
        <v>55</v>
      </c>
      <c r="B57" s="7">
        <v>4.8300000000000001E-3</v>
      </c>
      <c r="C57" s="7">
        <f t="shared" si="0"/>
        <v>5.7959999999999999E-4</v>
      </c>
      <c r="D57" s="7">
        <f t="shared" si="1"/>
        <v>3.1394999999999999E-3</v>
      </c>
      <c r="E57" s="7">
        <f t="shared" si="2"/>
        <v>1.1108999999999997E-3</v>
      </c>
    </row>
    <row r="58" spans="1:5">
      <c r="A58" s="4">
        <v>56</v>
      </c>
      <c r="B58" s="5">
        <v>5.2399999999999999E-3</v>
      </c>
      <c r="C58" s="5">
        <f t="shared" si="0"/>
        <v>6.288E-4</v>
      </c>
      <c r="D58" s="5">
        <f t="shared" si="1"/>
        <v>3.4060000000000002E-3</v>
      </c>
      <c r="E58" s="5">
        <f t="shared" si="2"/>
        <v>1.2052E-3</v>
      </c>
    </row>
    <row r="59" spans="1:5">
      <c r="A59" s="6">
        <v>57</v>
      </c>
      <c r="B59" s="7">
        <v>5.6299999999999996E-3</v>
      </c>
      <c r="C59" s="7">
        <f t="shared" si="0"/>
        <v>6.7560000000000005E-4</v>
      </c>
      <c r="D59" s="7">
        <f t="shared" si="1"/>
        <v>3.6595E-3</v>
      </c>
      <c r="E59" s="7">
        <f t="shared" si="2"/>
        <v>1.2948999999999994E-3</v>
      </c>
    </row>
    <row r="60" spans="1:5">
      <c r="A60" s="4">
        <v>58</v>
      </c>
      <c r="B60" s="5">
        <v>6.0099999999999997E-3</v>
      </c>
      <c r="C60" s="5">
        <f t="shared" si="0"/>
        <v>7.2119999999999997E-4</v>
      </c>
      <c r="D60" s="5">
        <f t="shared" si="1"/>
        <v>3.9065000000000003E-3</v>
      </c>
      <c r="E60" s="5">
        <f t="shared" si="2"/>
        <v>1.3822999999999995E-3</v>
      </c>
    </row>
    <row r="61" spans="1:5">
      <c r="A61" s="6">
        <v>59</v>
      </c>
      <c r="B61" s="7">
        <v>6.3600000000000002E-3</v>
      </c>
      <c r="C61" s="7">
        <f t="shared" si="0"/>
        <v>7.6320000000000001E-4</v>
      </c>
      <c r="D61" s="7">
        <f t="shared" si="1"/>
        <v>4.1339999999999997E-3</v>
      </c>
      <c r="E61" s="7">
        <f t="shared" si="2"/>
        <v>1.4628000000000002E-3</v>
      </c>
    </row>
    <row r="62" spans="1:5">
      <c r="A62" s="4">
        <v>60</v>
      </c>
      <c r="B62" s="5">
        <v>6.7099999999999998E-3</v>
      </c>
      <c r="C62" s="5">
        <f t="shared" si="0"/>
        <v>8.0519999999999995E-4</v>
      </c>
      <c r="D62" s="5">
        <f t="shared" si="1"/>
        <v>4.3614999999999999E-3</v>
      </c>
      <c r="E62" s="5">
        <f t="shared" si="2"/>
        <v>1.5433000000000001E-3</v>
      </c>
    </row>
    <row r="63" spans="1:5">
      <c r="A63" s="6">
        <v>61</v>
      </c>
      <c r="B63" s="7">
        <v>7.0699999999999999E-3</v>
      </c>
      <c r="C63" s="7">
        <f t="shared" si="0"/>
        <v>8.4840000000000002E-4</v>
      </c>
      <c r="D63" s="7">
        <f t="shared" si="1"/>
        <v>4.5954999999999998E-3</v>
      </c>
      <c r="E63" s="7">
        <f t="shared" si="2"/>
        <v>1.6261000000000001E-3</v>
      </c>
    </row>
    <row r="64" spans="1:5">
      <c r="A64" s="4">
        <v>62</v>
      </c>
      <c r="B64" s="5">
        <v>7.4599999999999996E-3</v>
      </c>
      <c r="C64" s="5">
        <f t="shared" si="0"/>
        <v>8.9519999999999997E-4</v>
      </c>
      <c r="D64" s="5">
        <f t="shared" si="1"/>
        <v>4.849E-3</v>
      </c>
      <c r="E64" s="5">
        <f t="shared" si="2"/>
        <v>1.7158E-3</v>
      </c>
    </row>
    <row r="65" spans="1:5">
      <c r="A65" s="6">
        <v>63</v>
      </c>
      <c r="B65" s="7">
        <v>7.8799999999999999E-3</v>
      </c>
      <c r="C65" s="7">
        <f t="shared" si="0"/>
        <v>9.456E-4</v>
      </c>
      <c r="D65" s="7">
        <f t="shared" si="1"/>
        <v>5.1219999999999998E-3</v>
      </c>
      <c r="E65" s="7">
        <f t="shared" si="2"/>
        <v>1.8124000000000005E-3</v>
      </c>
    </row>
    <row r="66" spans="1:5">
      <c r="A66" s="4">
        <v>64</v>
      </c>
      <c r="B66" s="5">
        <v>8.3300000000000006E-3</v>
      </c>
      <c r="C66" s="5">
        <f t="shared" ref="C66:C113" si="3">ROUND(B66*(IF(A66&lt;15,0.08,IF(A66&lt;30,0.3,IF(A66&lt;45,0.22,IF(A66&lt;65,0.12,IF(A66&lt;80,0.06,0.03)))))),10)</f>
        <v>9.9960000000000001E-4</v>
      </c>
      <c r="D66" s="5">
        <f t="shared" ref="D66:D113" si="4">ROUND(B66*(IF(A66&lt;15,0.35,IF(A66&lt;30,0.3,IF(A66&lt;45,0.45,IF(A66&lt;65,0.65,IF(A66&lt;80,0.78,0.87)))))),10)</f>
        <v>5.4145E-3</v>
      </c>
      <c r="E66" s="5">
        <f t="shared" ref="E66:E113" si="5">B66-C66-D66</f>
        <v>1.9159000000000008E-3</v>
      </c>
    </row>
    <row r="67" spans="1:5">
      <c r="A67" s="6">
        <v>65</v>
      </c>
      <c r="B67" s="7">
        <v>8.8299999999999993E-3</v>
      </c>
      <c r="C67" s="7">
        <f t="shared" si="3"/>
        <v>5.2979999999999998E-4</v>
      </c>
      <c r="D67" s="7">
        <f t="shared" si="4"/>
        <v>6.8874000000000001E-3</v>
      </c>
      <c r="E67" s="7">
        <f t="shared" si="5"/>
        <v>1.4127999999999988E-3</v>
      </c>
    </row>
    <row r="68" spans="1:5">
      <c r="A68" s="4">
        <v>66</v>
      </c>
      <c r="B68" s="5">
        <v>9.4000000000000004E-3</v>
      </c>
      <c r="C68" s="5">
        <f t="shared" si="3"/>
        <v>5.6400000000000005E-4</v>
      </c>
      <c r="D68" s="5">
        <f t="shared" si="4"/>
        <v>7.332E-3</v>
      </c>
      <c r="E68" s="5">
        <f t="shared" si="5"/>
        <v>1.5040000000000001E-3</v>
      </c>
    </row>
    <row r="69" spans="1:5">
      <c r="A69" s="6">
        <v>67</v>
      </c>
      <c r="B69" s="7">
        <v>1.005E-2</v>
      </c>
      <c r="C69" s="7">
        <f t="shared" si="3"/>
        <v>6.0300000000000002E-4</v>
      </c>
      <c r="D69" s="7">
        <f t="shared" si="4"/>
        <v>7.8390000000000005E-3</v>
      </c>
      <c r="E69" s="7">
        <f t="shared" si="5"/>
        <v>1.6080000000000001E-3</v>
      </c>
    </row>
    <row r="70" spans="1:5">
      <c r="A70" s="4">
        <v>68</v>
      </c>
      <c r="B70" s="5">
        <v>1.076E-2</v>
      </c>
      <c r="C70" s="5">
        <f t="shared" si="3"/>
        <v>6.4559999999999997E-4</v>
      </c>
      <c r="D70" s="5">
        <f t="shared" si="4"/>
        <v>8.3928000000000006E-3</v>
      </c>
      <c r="E70" s="5">
        <f t="shared" si="5"/>
        <v>1.7216000000000002E-3</v>
      </c>
    </row>
    <row r="71" spans="1:5">
      <c r="A71" s="6">
        <v>69</v>
      </c>
      <c r="B71" s="7">
        <v>1.15E-2</v>
      </c>
      <c r="C71" s="7">
        <f t="shared" si="3"/>
        <v>6.8999999999999997E-4</v>
      </c>
      <c r="D71" s="7">
        <f t="shared" si="4"/>
        <v>8.9700000000000005E-3</v>
      </c>
      <c r="E71" s="7">
        <f t="shared" si="5"/>
        <v>1.8399999999999996E-3</v>
      </c>
    </row>
    <row r="72" spans="1:5">
      <c r="A72" s="4">
        <v>70</v>
      </c>
      <c r="B72" s="5">
        <v>1.2290000000000001E-2</v>
      </c>
      <c r="C72" s="5">
        <f t="shared" si="3"/>
        <v>7.3740000000000003E-4</v>
      </c>
      <c r="D72" s="5">
        <f t="shared" si="4"/>
        <v>9.5861999999999996E-3</v>
      </c>
      <c r="E72" s="5">
        <f t="shared" si="5"/>
        <v>1.9664000000000001E-3</v>
      </c>
    </row>
    <row r="73" spans="1:5">
      <c r="A73" s="6">
        <v>71</v>
      </c>
      <c r="B73" s="7">
        <v>1.3140000000000001E-2</v>
      </c>
      <c r="C73" s="7">
        <f t="shared" si="3"/>
        <v>7.8839999999999997E-4</v>
      </c>
      <c r="D73" s="7">
        <f t="shared" si="4"/>
        <v>1.02492E-2</v>
      </c>
      <c r="E73" s="7">
        <f t="shared" si="5"/>
        <v>2.1024000000000008E-3</v>
      </c>
    </row>
    <row r="74" spans="1:5">
      <c r="A74" s="4">
        <v>72</v>
      </c>
      <c r="B74" s="5">
        <v>1.406E-2</v>
      </c>
      <c r="C74" s="5">
        <f t="shared" si="3"/>
        <v>8.4360000000000001E-4</v>
      </c>
      <c r="D74" s="5">
        <f t="shared" si="4"/>
        <v>1.0966800000000001E-2</v>
      </c>
      <c r="E74" s="5">
        <f t="shared" si="5"/>
        <v>2.2495999999999992E-3</v>
      </c>
    </row>
    <row r="75" spans="1:5">
      <c r="A75" s="6">
        <v>73</v>
      </c>
      <c r="B75" s="7">
        <v>1.508E-2</v>
      </c>
      <c r="C75" s="7">
        <f t="shared" si="3"/>
        <v>9.0479999999999998E-4</v>
      </c>
      <c r="D75" s="7">
        <f t="shared" si="4"/>
        <v>1.1762399999999999E-2</v>
      </c>
      <c r="E75" s="7">
        <f t="shared" si="5"/>
        <v>2.4127999999999997E-3</v>
      </c>
    </row>
    <row r="76" spans="1:5">
      <c r="A76" s="4">
        <v>74</v>
      </c>
      <c r="B76" s="5">
        <v>1.6199999999999999E-2</v>
      </c>
      <c r="C76" s="5">
        <f t="shared" si="3"/>
        <v>9.7199999999999999E-4</v>
      </c>
      <c r="D76" s="5">
        <f t="shared" si="4"/>
        <v>1.2636E-2</v>
      </c>
      <c r="E76" s="5">
        <f t="shared" si="5"/>
        <v>2.5919999999999988E-3</v>
      </c>
    </row>
    <row r="77" spans="1:5">
      <c r="A77" s="6">
        <v>75</v>
      </c>
      <c r="B77" s="7">
        <v>1.7430000000000001E-2</v>
      </c>
      <c r="C77" s="7">
        <f t="shared" si="3"/>
        <v>1.0457999999999999E-3</v>
      </c>
      <c r="D77" s="7">
        <f t="shared" si="4"/>
        <v>1.3595400000000001E-2</v>
      </c>
      <c r="E77" s="7">
        <f t="shared" si="5"/>
        <v>2.788800000000001E-3</v>
      </c>
    </row>
    <row r="78" spans="1:5">
      <c r="A78" s="4">
        <v>76</v>
      </c>
      <c r="B78" s="5">
        <v>1.8790000000000001E-2</v>
      </c>
      <c r="C78" s="5">
        <f t="shared" si="3"/>
        <v>1.1274E-3</v>
      </c>
      <c r="D78" s="5">
        <f t="shared" si="4"/>
        <v>1.4656199999999999E-2</v>
      </c>
      <c r="E78" s="5">
        <f t="shared" si="5"/>
        <v>3.0064000000000011E-3</v>
      </c>
    </row>
    <row r="79" spans="1:5">
      <c r="A79" s="6">
        <v>77</v>
      </c>
      <c r="B79" s="7">
        <v>2.0299999999999999E-2</v>
      </c>
      <c r="C79" s="7">
        <f t="shared" si="3"/>
        <v>1.2179999999999999E-3</v>
      </c>
      <c r="D79" s="7">
        <f t="shared" si="4"/>
        <v>1.5834000000000001E-2</v>
      </c>
      <c r="E79" s="7">
        <f t="shared" si="5"/>
        <v>3.2479999999999974E-3</v>
      </c>
    </row>
    <row r="80" spans="1:5">
      <c r="A80" s="4">
        <v>78</v>
      </c>
      <c r="B80" s="5">
        <v>2.3259999999999999E-2</v>
      </c>
      <c r="C80" s="5">
        <f t="shared" si="3"/>
        <v>1.3956000000000001E-3</v>
      </c>
      <c r="D80" s="5">
        <f t="shared" si="4"/>
        <v>1.8142800000000001E-2</v>
      </c>
      <c r="E80" s="5">
        <f t="shared" si="5"/>
        <v>3.7215999999999985E-3</v>
      </c>
    </row>
    <row r="81" spans="1:5">
      <c r="A81" s="6">
        <v>79</v>
      </c>
      <c r="B81" s="7">
        <v>2.8799999999999999E-2</v>
      </c>
      <c r="C81" s="7">
        <f t="shared" si="3"/>
        <v>1.7279999999999999E-3</v>
      </c>
      <c r="D81" s="7">
        <f t="shared" si="4"/>
        <v>2.2464000000000001E-2</v>
      </c>
      <c r="E81" s="7">
        <f t="shared" si="5"/>
        <v>4.6079999999999975E-3</v>
      </c>
    </row>
    <row r="82" spans="1:5">
      <c r="A82" s="4">
        <v>80</v>
      </c>
      <c r="B82" s="5">
        <v>3.569E-2</v>
      </c>
      <c r="C82" s="5">
        <f t="shared" si="3"/>
        <v>1.0707E-3</v>
      </c>
      <c r="D82" s="5">
        <f t="shared" si="4"/>
        <v>3.1050299999999999E-2</v>
      </c>
      <c r="E82" s="5">
        <f t="shared" si="5"/>
        <v>3.5689999999999993E-3</v>
      </c>
    </row>
    <row r="83" spans="1:5">
      <c r="A83" s="6">
        <v>81</v>
      </c>
      <c r="B83" s="7">
        <v>4.2079999999999999E-2</v>
      </c>
      <c r="C83" s="7">
        <f t="shared" si="3"/>
        <v>1.2623999999999999E-3</v>
      </c>
      <c r="D83" s="7">
        <f t="shared" si="4"/>
        <v>3.6609599999999999E-2</v>
      </c>
      <c r="E83" s="7">
        <f t="shared" si="5"/>
        <v>4.2080000000000034E-3</v>
      </c>
    </row>
    <row r="84" spans="1:5">
      <c r="A84" s="4">
        <v>82</v>
      </c>
      <c r="B84" s="5">
        <v>4.9070000000000003E-2</v>
      </c>
      <c r="C84" s="5">
        <f t="shared" si="3"/>
        <v>1.4721000000000001E-3</v>
      </c>
      <c r="D84" s="5">
        <f t="shared" si="4"/>
        <v>4.2690899999999997E-2</v>
      </c>
      <c r="E84" s="5">
        <f t="shared" si="5"/>
        <v>4.9070000000000086E-3</v>
      </c>
    </row>
    <row r="85" spans="1:5">
      <c r="A85" s="6">
        <v>83</v>
      </c>
      <c r="B85" s="7">
        <v>5.5199999999999999E-2</v>
      </c>
      <c r="C85" s="7">
        <f t="shared" si="3"/>
        <v>1.6559999999999999E-3</v>
      </c>
      <c r="D85" s="7">
        <f t="shared" si="4"/>
        <v>4.8023999999999997E-2</v>
      </c>
      <c r="E85" s="7">
        <f t="shared" si="5"/>
        <v>5.5200000000000041E-3</v>
      </c>
    </row>
    <row r="86" spans="1:5">
      <c r="A86" s="4">
        <v>84</v>
      </c>
      <c r="B86" s="5">
        <v>6.0859999999999997E-2</v>
      </c>
      <c r="C86" s="5">
        <f t="shared" si="3"/>
        <v>1.8258E-3</v>
      </c>
      <c r="D86" s="5">
        <f t="shared" si="4"/>
        <v>5.2948200000000001E-2</v>
      </c>
      <c r="E86" s="5">
        <f t="shared" si="5"/>
        <v>6.0859999999999942E-3</v>
      </c>
    </row>
    <row r="87" spans="1:5">
      <c r="A87" s="6">
        <v>85</v>
      </c>
      <c r="B87" s="7">
        <v>6.7150000000000001E-2</v>
      </c>
      <c r="C87" s="7">
        <f t="shared" si="3"/>
        <v>2.0144999999999998E-3</v>
      </c>
      <c r="D87" s="7">
        <f t="shared" si="4"/>
        <v>5.84205E-2</v>
      </c>
      <c r="E87" s="7">
        <f t="shared" si="5"/>
        <v>6.7149999999999987E-3</v>
      </c>
    </row>
    <row r="88" spans="1:5">
      <c r="A88" s="4">
        <v>86</v>
      </c>
      <c r="B88" s="5">
        <v>7.3179999999999995E-2</v>
      </c>
      <c r="C88" s="5">
        <f t="shared" si="3"/>
        <v>2.1954000000000001E-3</v>
      </c>
      <c r="D88" s="5">
        <f t="shared" si="4"/>
        <v>6.3666600000000004E-2</v>
      </c>
      <c r="E88" s="5">
        <f t="shared" si="5"/>
        <v>7.3179999999999912E-3</v>
      </c>
    </row>
    <row r="89" spans="1:5">
      <c r="A89" s="6">
        <v>87</v>
      </c>
      <c r="B89" s="7">
        <v>8.1549999999999997E-2</v>
      </c>
      <c r="C89" s="7">
        <f t="shared" si="3"/>
        <v>2.4464999999999999E-3</v>
      </c>
      <c r="D89" s="7">
        <f t="shared" si="4"/>
        <v>7.0948499999999998E-2</v>
      </c>
      <c r="E89" s="7">
        <f t="shared" si="5"/>
        <v>8.1549999999999956E-3</v>
      </c>
    </row>
    <row r="90" spans="1:5">
      <c r="A90" s="4">
        <v>88</v>
      </c>
      <c r="B90" s="5">
        <v>9.0450000000000003E-2</v>
      </c>
      <c r="C90" s="5">
        <f t="shared" si="3"/>
        <v>2.7135000000000002E-3</v>
      </c>
      <c r="D90" s="5">
        <f t="shared" si="4"/>
        <v>7.8691499999999998E-2</v>
      </c>
      <c r="E90" s="5">
        <f t="shared" si="5"/>
        <v>9.0450000000000114E-3</v>
      </c>
    </row>
    <row r="91" spans="1:5">
      <c r="A91" s="6">
        <v>89</v>
      </c>
      <c r="B91" s="7">
        <v>0.10001</v>
      </c>
      <c r="C91" s="7">
        <f t="shared" si="3"/>
        <v>3.0003E-3</v>
      </c>
      <c r="D91" s="7">
        <f t="shared" si="4"/>
        <v>8.7008699999999994E-2</v>
      </c>
      <c r="E91" s="7">
        <f t="shared" si="5"/>
        <v>1.000100000000001E-2</v>
      </c>
    </row>
    <row r="92" spans="1:5">
      <c r="A92" s="4">
        <v>90</v>
      </c>
      <c r="B92" s="5">
        <v>0.10913</v>
      </c>
      <c r="C92" s="5">
        <f t="shared" si="3"/>
        <v>3.2739000000000002E-3</v>
      </c>
      <c r="D92" s="5">
        <f t="shared" si="4"/>
        <v>9.4943100000000002E-2</v>
      </c>
      <c r="E92" s="5">
        <f t="shared" si="5"/>
        <v>1.0913000000000006E-2</v>
      </c>
    </row>
    <row r="93" spans="1:5">
      <c r="A93" s="6">
        <v>91</v>
      </c>
      <c r="B93" s="7">
        <v>0.11521000000000001</v>
      </c>
      <c r="C93" s="7">
        <f t="shared" si="3"/>
        <v>3.4562999999999998E-3</v>
      </c>
      <c r="D93" s="7">
        <f t="shared" si="4"/>
        <v>0.10023269999999999</v>
      </c>
      <c r="E93" s="7">
        <f t="shared" si="5"/>
        <v>1.1521000000000017E-2</v>
      </c>
    </row>
    <row r="94" spans="1:5">
      <c r="A94" s="4">
        <v>92</v>
      </c>
      <c r="B94" s="5">
        <v>0.12499</v>
      </c>
      <c r="C94" s="5">
        <f t="shared" si="3"/>
        <v>3.7496999999999999E-3</v>
      </c>
      <c r="D94" s="5">
        <f t="shared" si="4"/>
        <v>0.1087413</v>
      </c>
      <c r="E94" s="5">
        <f t="shared" si="5"/>
        <v>1.249900000000001E-2</v>
      </c>
    </row>
    <row r="95" spans="1:5">
      <c r="A95" s="6">
        <v>93</v>
      </c>
      <c r="B95" s="7">
        <v>0.13825999999999999</v>
      </c>
      <c r="C95" s="7">
        <f t="shared" si="3"/>
        <v>4.1478000000000001E-3</v>
      </c>
      <c r="D95" s="7">
        <f t="shared" si="4"/>
        <v>0.1202862</v>
      </c>
      <c r="E95" s="7">
        <f t="shared" si="5"/>
        <v>1.3825999999999991E-2</v>
      </c>
    </row>
    <row r="96" spans="1:5">
      <c r="A96" s="4">
        <v>94</v>
      </c>
      <c r="B96" s="5">
        <v>0.15451000000000001</v>
      </c>
      <c r="C96" s="5">
        <f t="shared" si="3"/>
        <v>4.6353000000000002E-3</v>
      </c>
      <c r="D96" s="5">
        <f t="shared" si="4"/>
        <v>0.13442370000000001</v>
      </c>
      <c r="E96" s="5">
        <f t="shared" si="5"/>
        <v>1.5450999999999993E-2</v>
      </c>
    </row>
    <row r="97" spans="1:5">
      <c r="A97" s="6">
        <v>95</v>
      </c>
      <c r="B97" s="7">
        <v>0.17429</v>
      </c>
      <c r="C97" s="7">
        <f t="shared" si="3"/>
        <v>5.2287000000000002E-3</v>
      </c>
      <c r="D97" s="7">
        <f t="shared" si="4"/>
        <v>0.1516323</v>
      </c>
      <c r="E97" s="7">
        <f t="shared" si="5"/>
        <v>1.7429E-2</v>
      </c>
    </row>
    <row r="98" spans="1:5">
      <c r="A98" s="4">
        <v>96</v>
      </c>
      <c r="B98" s="5">
        <v>0.19155</v>
      </c>
      <c r="C98" s="5">
        <f t="shared" si="3"/>
        <v>5.7464999999999999E-3</v>
      </c>
      <c r="D98" s="5">
        <f t="shared" si="4"/>
        <v>0.1666485</v>
      </c>
      <c r="E98" s="5">
        <f t="shared" si="5"/>
        <v>1.9155000000000005E-2</v>
      </c>
    </row>
    <row r="99" spans="1:5">
      <c r="A99" s="6">
        <v>97</v>
      </c>
      <c r="B99" s="7">
        <v>0.20596</v>
      </c>
      <c r="C99" s="7">
        <f t="shared" si="3"/>
        <v>6.1787999999999999E-3</v>
      </c>
      <c r="D99" s="7">
        <f t="shared" si="4"/>
        <v>0.17918519999999999</v>
      </c>
      <c r="E99" s="7">
        <f t="shared" si="5"/>
        <v>2.0596000000000003E-2</v>
      </c>
    </row>
    <row r="100" spans="1:5">
      <c r="A100" s="4">
        <v>98</v>
      </c>
      <c r="B100" s="5">
        <v>0.22227</v>
      </c>
      <c r="C100" s="5">
        <f t="shared" si="3"/>
        <v>6.6680999999999997E-3</v>
      </c>
      <c r="D100" s="5">
        <f t="shared" si="4"/>
        <v>0.19337489999999999</v>
      </c>
      <c r="E100" s="5">
        <f t="shared" si="5"/>
        <v>2.2226999999999997E-2</v>
      </c>
    </row>
    <row r="101" spans="1:5">
      <c r="A101" s="6">
        <v>99</v>
      </c>
      <c r="B101" s="7">
        <v>0.23735999999999999</v>
      </c>
      <c r="C101" s="7">
        <f t="shared" si="3"/>
        <v>7.1208E-3</v>
      </c>
      <c r="D101" s="7">
        <f t="shared" si="4"/>
        <v>0.2065032</v>
      </c>
      <c r="E101" s="7">
        <f t="shared" si="5"/>
        <v>2.3735999999999979E-2</v>
      </c>
    </row>
    <row r="102" spans="1:5">
      <c r="A102" s="4">
        <v>100</v>
      </c>
      <c r="B102" s="5">
        <v>0.2581</v>
      </c>
      <c r="C102" s="5">
        <f t="shared" si="3"/>
        <v>7.7429999999999999E-3</v>
      </c>
      <c r="D102" s="5">
        <f t="shared" si="4"/>
        <v>0.224547</v>
      </c>
      <c r="E102" s="5">
        <f t="shared" si="5"/>
        <v>2.581E-2</v>
      </c>
    </row>
    <row r="103" spans="1:5">
      <c r="A103" s="6">
        <v>101</v>
      </c>
      <c r="B103" s="7">
        <v>0.28067999999999999</v>
      </c>
      <c r="C103" s="7">
        <f t="shared" si="3"/>
        <v>8.4203999999999998E-3</v>
      </c>
      <c r="D103" s="7">
        <f t="shared" si="4"/>
        <v>0.24419160000000001</v>
      </c>
      <c r="E103" s="7">
        <f t="shared" si="5"/>
        <v>2.8067999999999982E-2</v>
      </c>
    </row>
    <row r="104" spans="1:5">
      <c r="A104" s="4">
        <v>102</v>
      </c>
      <c r="B104" s="5">
        <v>0.30562</v>
      </c>
      <c r="C104" s="5">
        <f t="shared" si="3"/>
        <v>9.1686000000000007E-3</v>
      </c>
      <c r="D104" s="5">
        <f t="shared" si="4"/>
        <v>0.2658894</v>
      </c>
      <c r="E104" s="5">
        <f t="shared" si="5"/>
        <v>3.0561999999999978E-2</v>
      </c>
    </row>
    <row r="105" spans="1:5">
      <c r="A105" s="6">
        <v>103</v>
      </c>
      <c r="B105" s="7">
        <v>0.33315</v>
      </c>
      <c r="C105" s="7">
        <f t="shared" si="3"/>
        <v>9.9944999999999999E-3</v>
      </c>
      <c r="D105" s="7">
        <f t="shared" si="4"/>
        <v>0.2898405</v>
      </c>
      <c r="E105" s="7">
        <f t="shared" si="5"/>
        <v>3.3314999999999984E-2</v>
      </c>
    </row>
    <row r="106" spans="1:5">
      <c r="A106" s="4">
        <v>104</v>
      </c>
      <c r="B106" s="5">
        <v>0.36369000000000001</v>
      </c>
      <c r="C106" s="5">
        <f t="shared" si="3"/>
        <v>1.0910700000000001E-2</v>
      </c>
      <c r="D106" s="5">
        <f t="shared" si="4"/>
        <v>0.31641029999999998</v>
      </c>
      <c r="E106" s="5">
        <f t="shared" si="5"/>
        <v>3.636900000000004E-2</v>
      </c>
    </row>
    <row r="107" spans="1:5">
      <c r="A107" s="6">
        <v>105</v>
      </c>
      <c r="B107" s="7">
        <v>0.39317999999999997</v>
      </c>
      <c r="C107" s="7">
        <f t="shared" si="3"/>
        <v>1.1795399999999999E-2</v>
      </c>
      <c r="D107" s="7">
        <f t="shared" si="4"/>
        <v>0.3420666</v>
      </c>
      <c r="E107" s="7">
        <f t="shared" si="5"/>
        <v>3.9317999999999964E-2</v>
      </c>
    </row>
    <row r="108" spans="1:5">
      <c r="A108" s="4">
        <v>106</v>
      </c>
      <c r="B108" s="5">
        <v>0.42882999999999999</v>
      </c>
      <c r="C108" s="5">
        <f t="shared" si="3"/>
        <v>1.28649E-2</v>
      </c>
      <c r="D108" s="5">
        <f t="shared" si="4"/>
        <v>0.37308210000000003</v>
      </c>
      <c r="E108" s="5">
        <f t="shared" si="5"/>
        <v>4.2882999999999949E-2</v>
      </c>
    </row>
    <row r="109" spans="1:5">
      <c r="A109" s="6">
        <v>107</v>
      </c>
      <c r="B109" s="7">
        <v>0.46604000000000001</v>
      </c>
      <c r="C109" s="7">
        <f t="shared" si="3"/>
        <v>1.3981199999999999E-2</v>
      </c>
      <c r="D109" s="7">
        <f t="shared" si="4"/>
        <v>0.4054548</v>
      </c>
      <c r="E109" s="7">
        <f t="shared" si="5"/>
        <v>4.6603999999999979E-2</v>
      </c>
    </row>
    <row r="110" spans="1:5">
      <c r="A110" s="4">
        <v>108</v>
      </c>
      <c r="B110" s="5">
        <v>0.50427</v>
      </c>
      <c r="C110" s="5">
        <f t="shared" si="3"/>
        <v>1.51281E-2</v>
      </c>
      <c r="D110" s="5">
        <f t="shared" si="4"/>
        <v>0.43871490000000002</v>
      </c>
      <c r="E110" s="5">
        <f t="shared" si="5"/>
        <v>5.0427E-2</v>
      </c>
    </row>
    <row r="111" spans="1:5">
      <c r="A111" s="6">
        <v>109</v>
      </c>
      <c r="B111" s="7">
        <v>0.54476999999999998</v>
      </c>
      <c r="C111" s="7">
        <f t="shared" si="3"/>
        <v>1.6343099999999999E-2</v>
      </c>
      <c r="D111" s="7">
        <f t="shared" si="4"/>
        <v>0.47394989999999998</v>
      </c>
      <c r="E111" s="7">
        <f t="shared" si="5"/>
        <v>5.4476999999999942E-2</v>
      </c>
    </row>
    <row r="112" spans="1:5">
      <c r="A112" s="4">
        <v>110</v>
      </c>
      <c r="B112" s="5">
        <v>0.58701999999999999</v>
      </c>
      <c r="C112" s="5">
        <f t="shared" si="3"/>
        <v>1.7610600000000001E-2</v>
      </c>
      <c r="D112" s="5">
        <f t="shared" si="4"/>
        <v>0.51070740000000003</v>
      </c>
      <c r="E112" s="5">
        <f t="shared" si="5"/>
        <v>5.8701999999999921E-2</v>
      </c>
    </row>
    <row r="113" spans="1:5">
      <c r="A113" s="6">
        <v>111</v>
      </c>
      <c r="B113" s="7">
        <v>1</v>
      </c>
      <c r="C113" s="7">
        <f t="shared" si="3"/>
        <v>0.03</v>
      </c>
      <c r="D113" s="7">
        <f t="shared" si="4"/>
        <v>0.87</v>
      </c>
      <c r="E113" s="7">
        <f t="shared" si="5"/>
        <v>9.9999999999999978E-2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sqref="A1:D1"/>
    </sheetView>
  </sheetViews>
  <sheetFormatPr defaultRowHeight="14.25"/>
  <cols>
    <col min="1" max="4" width="36" customWidth="1"/>
  </cols>
  <sheetData>
    <row r="1" spans="1:4" ht="16.5">
      <c r="A1" s="2" t="s">
        <v>0</v>
      </c>
      <c r="B1" s="3"/>
      <c r="C1" s="3"/>
      <c r="D1" s="3"/>
    </row>
    <row r="3" spans="1:4">
      <c r="A3" s="1" t="s">
        <v>1</v>
      </c>
      <c r="B3" s="1"/>
      <c r="C3" s="1"/>
      <c r="D3" s="1"/>
    </row>
    <row r="4" spans="1:4">
      <c r="A4" s="1" t="s">
        <v>2</v>
      </c>
      <c r="B4" s="1" t="s">
        <v>3</v>
      </c>
      <c r="C4" s="1"/>
      <c r="D4" s="1"/>
    </row>
    <row r="5" spans="1:4">
      <c r="A5" s="1" t="s">
        <v>4</v>
      </c>
      <c r="B5" s="1" t="s">
        <v>5</v>
      </c>
      <c r="C5" s="1"/>
      <c r="D5" s="1"/>
    </row>
    <row r="6" spans="1:4" ht="28.5">
      <c r="A6" s="1" t="s">
        <v>6</v>
      </c>
      <c r="B6" s="1" t="s">
        <v>7</v>
      </c>
      <c r="C6" s="1"/>
      <c r="D6" s="1"/>
    </row>
    <row r="7" spans="1:4" ht="28.5">
      <c r="A7" s="1" t="s">
        <v>8</v>
      </c>
      <c r="B7" s="1" t="s">
        <v>9</v>
      </c>
      <c r="C7" s="1"/>
      <c r="D7" s="1"/>
    </row>
    <row r="8" spans="1:4" ht="28.5">
      <c r="A8" s="1" t="s">
        <v>10</v>
      </c>
      <c r="B8" s="1" t="s">
        <v>11</v>
      </c>
      <c r="C8" s="1"/>
      <c r="D8" s="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Male</vt:lpstr>
      <vt:lpstr>Female</vt:lpstr>
      <vt:lpstr>Formula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 lubna</cp:lastModifiedBy>
  <dcterms:modified xsi:type="dcterms:W3CDTF">2026-05-26T09:59:04Z</dcterms:modified>
</cp:coreProperties>
</file>